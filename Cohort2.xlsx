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ttrimme\Dropbox (Personal)\Aquaya\WQ testing fellowship\Data for public share\"/>
    </mc:Choice>
  </mc:AlternateContent>
  <xr:revisionPtr revIDLastSave="0" documentId="13_ncr:1_{4F48A351-E434-4446-949B-25F4DFE8FBD4}" xr6:coauthVersionLast="47" xr6:coauthVersionMax="47" xr10:uidLastSave="{00000000-0000-0000-0000-000000000000}"/>
  <bookViews>
    <workbookView xWindow="-110" yWindow="-110" windowWidth="19420" windowHeight="11620" firstSheet="2" activeTab="4" xr2:uid="{00000000-000D-0000-FFFF-FFFF00000000}"/>
  </bookViews>
  <sheets>
    <sheet name="Cohort 2 - baseline" sheetId="1" r:id="rId1"/>
    <sheet name="Cohort 2 - endline" sheetId="2" r:id="rId2"/>
    <sheet name="Cohort 2 - 1 year later" sheetId="3" r:id="rId3"/>
    <sheet name="Cohort 2 - quizzes Ethiopia" sheetId="4" r:id="rId4"/>
    <sheet name="Cohort 2 - quizzes Ugand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2" i="5" l="1"/>
  <c r="K33" i="5" s="1"/>
  <c r="I32" i="5"/>
  <c r="I33" i="5" s="1"/>
  <c r="H32" i="5"/>
  <c r="H33" i="5" s="1"/>
  <c r="G32" i="5"/>
  <c r="G33" i="5" s="1"/>
  <c r="F32" i="5"/>
  <c r="F33" i="5" s="1"/>
  <c r="L31" i="5"/>
  <c r="L30" i="5"/>
  <c r="L29" i="5"/>
  <c r="L28" i="5"/>
  <c r="L27" i="5"/>
  <c r="L26" i="5"/>
  <c r="L25" i="5"/>
  <c r="L24" i="5"/>
  <c r="L23" i="5"/>
  <c r="L22" i="5"/>
  <c r="L21" i="5"/>
  <c r="L20" i="5"/>
  <c r="L19" i="5"/>
  <c r="L18" i="5"/>
  <c r="L17" i="5"/>
  <c r="L16" i="5"/>
  <c r="L15" i="5"/>
  <c r="L14" i="5"/>
  <c r="L13" i="5"/>
  <c r="L12" i="5"/>
  <c r="L11" i="5"/>
  <c r="L10" i="5"/>
  <c r="L9" i="5"/>
  <c r="L8" i="5"/>
  <c r="L7" i="5"/>
  <c r="L6" i="5"/>
  <c r="L5" i="5"/>
  <c r="L4" i="5"/>
  <c r="L3" i="5"/>
  <c r="L2" i="5"/>
  <c r="G23" i="4"/>
  <c r="E23" i="4"/>
  <c r="D23" i="4"/>
  <c r="C23" i="4"/>
  <c r="B23" i="4"/>
  <c r="G21" i="4"/>
  <c r="E21" i="4"/>
  <c r="D21" i="4"/>
  <c r="C21" i="4"/>
  <c r="B21" i="4"/>
  <c r="H19" i="4"/>
  <c r="H18" i="4"/>
  <c r="H17" i="4"/>
  <c r="H16" i="4"/>
  <c r="H15" i="4"/>
  <c r="H14" i="4"/>
  <c r="H13" i="4"/>
  <c r="H12" i="4"/>
  <c r="H11" i="4"/>
  <c r="H10" i="4"/>
  <c r="H9" i="4"/>
  <c r="H8" i="4"/>
  <c r="H7" i="4"/>
  <c r="H6" i="4"/>
  <c r="H5" i="4"/>
  <c r="H21" i="4" s="1"/>
  <c r="H4" i="4"/>
  <c r="H3" i="4"/>
  <c r="H2" i="4"/>
  <c r="H2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3" authorId="0" shapeId="0" xr:uid="{00000000-0006-0000-0000-000001000000}">
      <text>
        <r>
          <rPr>
            <sz val="10"/>
            <color rgb="FF000000"/>
            <rFont val="Arial"/>
            <scheme val="minor"/>
          </rPr>
          <t>Responder updated this value.</t>
        </r>
      </text>
    </comment>
    <comment ref="C13" authorId="0" shapeId="0" xr:uid="{00000000-0006-0000-0000-000002000000}">
      <text>
        <r>
          <rPr>
            <sz val="10"/>
            <color rgb="FF000000"/>
            <rFont val="Arial"/>
            <scheme val="minor"/>
          </rPr>
          <t>Responder updated this value.</t>
        </r>
      </text>
    </comment>
    <comment ref="E13" authorId="0" shapeId="0" xr:uid="{00000000-0006-0000-0000-000003000000}">
      <text>
        <r>
          <rPr>
            <sz val="10"/>
            <color rgb="FF000000"/>
            <rFont val="Arial"/>
            <scheme val="minor"/>
          </rPr>
          <t>Responder updated this value.</t>
        </r>
      </text>
    </comment>
    <comment ref="G13" authorId="0" shapeId="0" xr:uid="{00000000-0006-0000-0000-000004000000}">
      <text>
        <r>
          <rPr>
            <sz val="10"/>
            <color rgb="FF000000"/>
            <rFont val="Arial"/>
            <scheme val="minor"/>
          </rPr>
          <t>Responder updated this value.</t>
        </r>
      </text>
    </comment>
    <comment ref="I13" authorId="0" shapeId="0" xr:uid="{00000000-0006-0000-0000-000005000000}">
      <text>
        <r>
          <rPr>
            <sz val="10"/>
            <color rgb="FF000000"/>
            <rFont val="Arial"/>
            <scheme val="minor"/>
          </rPr>
          <t>Responder updated this value.</t>
        </r>
      </text>
    </comment>
    <comment ref="K13" authorId="0" shapeId="0" xr:uid="{00000000-0006-0000-0000-000006000000}">
      <text>
        <r>
          <rPr>
            <sz val="10"/>
            <color rgb="FF000000"/>
            <rFont val="Arial"/>
            <scheme val="minor"/>
          </rPr>
          <t>Responder updated this value.</t>
        </r>
      </text>
    </comment>
    <comment ref="L13" authorId="0" shapeId="0" xr:uid="{00000000-0006-0000-0000-000007000000}">
      <text>
        <r>
          <rPr>
            <sz val="10"/>
            <color rgb="FF000000"/>
            <rFont val="Arial"/>
            <scheme val="minor"/>
          </rPr>
          <t>Responder updated this value.</t>
        </r>
      </text>
    </comment>
    <comment ref="K24" authorId="0" shapeId="0" xr:uid="{00000000-0006-0000-0000-000008000000}">
      <text>
        <r>
          <rPr>
            <sz val="10"/>
            <color rgb="FF000000"/>
            <rFont val="Arial"/>
            <scheme val="minor"/>
          </rPr>
          <t>Responder updated this value.</t>
        </r>
      </text>
    </comment>
    <comment ref="L42" authorId="0" shapeId="0" xr:uid="{00000000-0006-0000-0000-000009000000}">
      <text>
        <r>
          <rPr>
            <sz val="10"/>
            <color rgb="FF000000"/>
            <rFont val="Arial"/>
            <scheme val="minor"/>
          </rPr>
          <t>Responder updated this value.</t>
        </r>
      </text>
    </comment>
  </commentList>
</comments>
</file>

<file path=xl/sharedStrings.xml><?xml version="1.0" encoding="utf-8"?>
<sst xmlns="http://schemas.openxmlformats.org/spreadsheetml/2006/main" count="3197" uniqueCount="1092">
  <si>
    <t>Timestamp</t>
  </si>
  <si>
    <t>Why did you apply to the fellowship program? [select all that apply]</t>
  </si>
  <si>
    <r>
      <t xml:space="preserve">How do you rate your general knowledge about </t>
    </r>
    <r>
      <rPr>
        <b/>
        <sz val="10"/>
        <color theme="1"/>
        <rFont val="Arial"/>
      </rPr>
      <t>water quality testing</t>
    </r>
    <r>
      <rPr>
        <sz val="10"/>
        <color theme="1"/>
        <rFont val="Arial"/>
      </rPr>
      <t>?</t>
    </r>
  </si>
  <si>
    <r>
      <t xml:space="preserve">How do you rate your knowledge or experience with </t>
    </r>
    <r>
      <rPr>
        <b/>
        <sz val="10"/>
        <color theme="1"/>
        <rFont val="Arial"/>
      </rPr>
      <t>laboratory work</t>
    </r>
    <r>
      <rPr>
        <sz val="10"/>
        <color theme="1"/>
        <rFont val="Arial"/>
      </rPr>
      <t>?</t>
    </r>
  </si>
  <si>
    <r>
      <t>How do you rate your knowledge or experience with</t>
    </r>
    <r>
      <rPr>
        <b/>
        <sz val="10"/>
        <color theme="1"/>
        <rFont val="Arial"/>
      </rPr>
      <t xml:space="preserve"> field work </t>
    </r>
    <r>
      <rPr>
        <sz val="10"/>
        <color theme="1"/>
        <rFont val="Arial"/>
      </rPr>
      <t xml:space="preserve">(sampling, field testing, conducting surveys)? </t>
    </r>
  </si>
  <si>
    <t>How interested are you in a career in water quality testing, drinking water, or WASH (water, sanitation, and hygiene)?</t>
  </si>
  <si>
    <t>What are your main expectations about the fellowship program?</t>
  </si>
  <si>
    <t>What university do you attend?</t>
  </si>
  <si>
    <t>What is your major?</t>
  </si>
  <si>
    <t>In what class year do you start the fellowship?</t>
  </si>
  <si>
    <t>What is your gender?</t>
  </si>
  <si>
    <t>What is your age?</t>
  </si>
  <si>
    <t xml:space="preserve">What motivates you to engage in the water quality testing fellowship program?  [select all that apply] </t>
  </si>
  <si>
    <t>I want to learn more to satisfy my academic curiosity, I think it will make it easier to get a job when I graduate, I want to learn more about careers in this field, I think it will be a way to differentiate myself from my peers in applying for jobs or graduate school</t>
  </si>
  <si>
    <t>Below Average</t>
  </si>
  <si>
    <t>Average</t>
  </si>
  <si>
    <t>Definitely Interested</t>
  </si>
  <si>
    <t xml:space="preserve">Learning water quality related issues and  learning how to go about community engagement </t>
  </si>
  <si>
    <t>Makerere University</t>
  </si>
  <si>
    <t xml:space="preserve">Bachelor of Science in Civil engineering </t>
  </si>
  <si>
    <t>Undergraduate 3rd Year</t>
  </si>
  <si>
    <t>Male</t>
  </si>
  <si>
    <t>Above Average</t>
  </si>
  <si>
    <t xml:space="preserve">To gain a deeper understanding of techniques and skills associated with water quality testing and to understand the impact of different water engineering projects on communities as regards to water quality </t>
  </si>
  <si>
    <t xml:space="preserve">Bachelor of science in Water and Irrigation Engineering </t>
  </si>
  <si>
    <t>I want to learn more to satisfy my academic curiosity</t>
  </si>
  <si>
    <t xml:space="preserve">To become a water quality expert after this training </t>
  </si>
  <si>
    <t xml:space="preserve">Water quality and treatment </t>
  </si>
  <si>
    <t>I want to learn more to satisfy my academic curiosity, I want to gain stronger laboratory skills, I want to learn more about careers in this field, I think it will be a way to differentiate myself from my peers in applying for jobs or graduate school, It is an opportunity to have a funded thesis project</t>
  </si>
  <si>
    <t xml:space="preserve">Certificate, Knowledge and practicals for water testing, Exposure to potential employers </t>
  </si>
  <si>
    <t xml:space="preserve">Civil engineering </t>
  </si>
  <si>
    <t>Slightly Interested</t>
  </si>
  <si>
    <t xml:space="preserve">To learn alot that I didn't know in water quality testing </t>
  </si>
  <si>
    <t xml:space="preserve">Bachelor of science in agricultural engineering </t>
  </si>
  <si>
    <t>Female</t>
  </si>
  <si>
    <t>To gain practical skills in water quality testing and to develop other soft skills such as communication skills</t>
  </si>
  <si>
    <t xml:space="preserve">Bsc.Water and Irrigation Engineering </t>
  </si>
  <si>
    <t>I think it will be a way to differentiate myself from my peers in applying for jobs or graduate school</t>
  </si>
  <si>
    <t>Prepare myself for a rigorous career in the field of water having gotten knowledge and skills in water Quality analysis and testing.</t>
  </si>
  <si>
    <t xml:space="preserve">Bachelor of Science in Agricultural Engineering </t>
  </si>
  <si>
    <t>I want to learn more to satisfy my academic curiosity, I want to gain stronger laboratory skills, I think it will make it easier to get a job when I graduate, I want to learn more about careers in this field, It is an opportunity to have a funded thesis project, Water and water with good quality are one of the biggest problems even in my home area,this was an opportunity for me to get chance on how to address this</t>
  </si>
  <si>
    <t>Very Poor</t>
  </si>
  <si>
    <t>I expect to learn alot on water quality and  I also expect alot of career chances</t>
  </si>
  <si>
    <t xml:space="preserve">Bachelor of science in Civil engineering </t>
  </si>
  <si>
    <t>I want to gain stronger laboratory skills, I think it will make it easier to get a job when I graduate, I want to learn more about careers in this field, It is an opportunity to have a funded thesis project</t>
  </si>
  <si>
    <t>Networking with professionals in the WASH sector, gaining a broader knowledge in water quality testing, getting career opportunities offered by the sponsors or WASH related sectors.</t>
  </si>
  <si>
    <t xml:space="preserve">Civil Engineering </t>
  </si>
  <si>
    <t xml:space="preserve">Am expecting to learn a lot about water quality </t>
  </si>
  <si>
    <t xml:space="preserve">Bsc. Of Agricultural Engineering </t>
  </si>
  <si>
    <t>Acquiring more knowledge and skills practically</t>
  </si>
  <si>
    <t>Bioprocessing Engineering</t>
  </si>
  <si>
    <t>I want to learn more to satisfy my academic curiosity, I think it will be a way to differentiate myself from my peers in applying for jobs or graduate school, It is an opportunity to have a funded thesis project</t>
  </si>
  <si>
    <t xml:space="preserve">I expect to be an expert in water quality and water quality testing </t>
  </si>
  <si>
    <t>Bachelor of science in Water and irrigation engineering</t>
  </si>
  <si>
    <t>I want to broaden my understanding in water quality testing.</t>
  </si>
  <si>
    <t>To increase my knowledge in water quality testing
To practice field work like sampling.
To engage in laboratory work.</t>
  </si>
  <si>
    <t xml:space="preserve">Bachelor of science in water and irrigation engineering </t>
  </si>
  <si>
    <t>I want to learn more to satisfy my academic curiosity, I want to gain stronger laboratory skills, I think it will make it easier to get a job when I graduate, I want to learn more about careers in this field, It is an opportunity to have a funded thesis project</t>
  </si>
  <si>
    <t xml:space="preserve">To gain the best understanding about water, gain water testing and treatment skills via laboratories and field works, exploring the different techniques of data collection and management </t>
  </si>
  <si>
    <t xml:space="preserve">Bachelor's of science in Bioprocessing Engineering </t>
  </si>
  <si>
    <t>Undergraduate - 2nd Year</t>
  </si>
  <si>
    <t>I want to learn more to satisfy my academic curiosity, I want to gain stronger laboratory skills, I want to learn more about careers in this field</t>
  </si>
  <si>
    <t xml:space="preserve">To gain skills and knowledge in water quality testing </t>
  </si>
  <si>
    <t xml:space="preserve">I would like to learn how to collect and analyze data using the theoretical knowledge </t>
  </si>
  <si>
    <t xml:space="preserve">Gain more knowledge in water quality testing and analyzing data </t>
  </si>
  <si>
    <t xml:space="preserve">Bachelor degree in Bio-processing Engineering </t>
  </si>
  <si>
    <t>I want to learn more to satisfy my academic curiosity, I want to gain stronger laboratory skills, I think it will make it easier to get a job when I graduate, I think it will be a way to differentiate myself from my peers in applying for jobs or graduate school, It is an opportunity to have a funded thesis project</t>
  </si>
  <si>
    <t xml:space="preserve">l want to be an expert in water quality testing </t>
  </si>
  <si>
    <t xml:space="preserve">Water quality and testing </t>
  </si>
  <si>
    <t>Gain skills</t>
  </si>
  <si>
    <t xml:space="preserve">Bachelor of science in bioprocessing engineering </t>
  </si>
  <si>
    <t>I want to learn more to satisfy my academic curiosity, I want to gain stronger laboratory skills, I think it will make it easier to get a job when I graduate, I want to learn more about careers in this field</t>
  </si>
  <si>
    <t>Create more friends and understand more about water as a resource specifically in the testing.</t>
  </si>
  <si>
    <t xml:space="preserve">Bachelor of Science in Water and irrigation engineering </t>
  </si>
  <si>
    <t>I think it will make it easier to get a job when I graduate</t>
  </si>
  <si>
    <t>I expect to earn more skills I regards to water quality testing</t>
  </si>
  <si>
    <t>Bachelor of science in water and irrigation Engineering</t>
  </si>
  <si>
    <t>I want to learn more about careers in this field</t>
  </si>
  <si>
    <t xml:space="preserve">To gain more skills about water quality testing so that I be impactful in the future </t>
  </si>
  <si>
    <t xml:space="preserve">Bachelors of science in water and irrigation engineering </t>
  </si>
  <si>
    <t>To get hands on skills in water quality testing that will uplift my career goals</t>
  </si>
  <si>
    <t xml:space="preserve">Skills and expertise in water quality testing and reporting </t>
  </si>
  <si>
    <t xml:space="preserve">Water and Irrigation </t>
  </si>
  <si>
    <t xml:space="preserve">To gain professional experience </t>
  </si>
  <si>
    <t xml:space="preserve">Back. Agricultural engineering </t>
  </si>
  <si>
    <t>I want to gain stronger laboratory skills, I want to learn more about careers in this field, I think it will be a way to differentiate myself from my peers in applying for jobs or graduate school</t>
  </si>
  <si>
    <t xml:space="preserve">I expect to gain laboratory skills in testing water quality parameters.
Provide solutions for the poor water.
I expect to strengthen my relationship with my fellow students and lecturers </t>
  </si>
  <si>
    <t xml:space="preserve">To gain skills about water testing, learn about different causes of water contamination, be ready for any chance incase of a job in water quality testing </t>
  </si>
  <si>
    <t xml:space="preserve">Bsc.Agricultural Engineering </t>
  </si>
  <si>
    <t>I want to gain stronger laboratory skills</t>
  </si>
  <si>
    <t>Excellent</t>
  </si>
  <si>
    <t>Get much exposure to the water testing and treatment processes</t>
  </si>
  <si>
    <t>Industrial chemistry</t>
  </si>
  <si>
    <t xml:space="preserve">To know more about what quality testing in the laboratory and also coming up with possible solutions for water quality once results are obtained </t>
  </si>
  <si>
    <t xml:space="preserve">Bachelors of science in Agricultural Engineering </t>
  </si>
  <si>
    <t>I want to learn more about careers in this field, I think it will be a way to differentiate myself from my peers in applying for jobs or graduate school</t>
  </si>
  <si>
    <t>To learn more and major in this sector of water, revolutionize it and incorporate it with the 4th industrial revolution.</t>
  </si>
  <si>
    <t>Bachelor's of Science in Water and Irrigation Engineering</t>
  </si>
  <si>
    <t>I want to learn more to satisfy my academic curiosity, I think it will make it easier to get a job when I graduate, I think it will be a way to differentiate myself from my peers in applying for jobs or graduate school, It is an opportunity to have a funded thesis project</t>
  </si>
  <si>
    <t>to get a knowledge and practical experience on how to test water quality for my future work on ruler areas of the country .</t>
  </si>
  <si>
    <t>Bahir Dar Institute of Technology</t>
  </si>
  <si>
    <t xml:space="preserve">Water Resources and Irrigation Engineering </t>
  </si>
  <si>
    <t>Undergraduate 5th Year</t>
  </si>
  <si>
    <t>Personal Experience, Academic Interest, Global Impact, Sustainable Development Goals, Innovation and Technology, Policy and Advocacy, Community Empowerment</t>
  </si>
  <si>
    <t>data analysis systems in addition to practical water quality testing program</t>
  </si>
  <si>
    <t xml:space="preserve">Water supply and sanitary engineering </t>
  </si>
  <si>
    <t>Masters Student</t>
  </si>
  <si>
    <t>Personal Experience, Academic Interest, Sustainable Development Goals, Innovation and Technology, Community Empowerment</t>
  </si>
  <si>
    <t xml:space="preserve">Skill ,exparises and knowelage  sharing ,susitaniable WaSH manegment , stabilish domistration site for lessoning and research cost cover for fellowship memebers  </t>
  </si>
  <si>
    <t xml:space="preserve">water supply and sanitary Engineering </t>
  </si>
  <si>
    <t>Personal Experience</t>
  </si>
  <si>
    <t>I want to learn more to satisfy my academic curiosity, I want to gain stronger laboratory skills, I want to learn more about careers in this field, It is an opportunity to have a funded thesis project, For more advancing my knowledge about water quality</t>
  </si>
  <si>
    <t>I expect full knowledge about water quality in field sampling, laboratory work, field test and other related things</t>
  </si>
  <si>
    <t xml:space="preserve">Water resource and irrigation engineering </t>
  </si>
  <si>
    <t>5th year</t>
  </si>
  <si>
    <t xml:space="preserve">Personal Experience, Academic Interest, Global Impact, Sustainable Development Goals, Innovation and Technology, Policy and Advocacy, Community Empowerment, Knowledge </t>
  </si>
  <si>
    <t>I expect to get more knowledge about laboratory skills,water quality testing and field works. and i expect it will be fun and helpful experience.</t>
  </si>
  <si>
    <t xml:space="preserve">Water Resource and irrigation engineering </t>
  </si>
  <si>
    <t xml:space="preserve">5th Year... Graduate college </t>
  </si>
  <si>
    <t>Personal Experience, Academic Interest, Innovation and Technology, Community Empowerment</t>
  </si>
  <si>
    <t>I want to learn more to satisfy my academic curiosity, I want to gain stronger laboratory skills, I think it will make it easier to get a job when I graduate, I want to learn more about careers in this field, I think it will be a way to differentiate myself from my peers in applying for jobs or graduate school</t>
  </si>
  <si>
    <t xml:space="preserve">To gain more knowledge and experiance on water quality and treatment </t>
  </si>
  <si>
    <t>Water resource and irrigation</t>
  </si>
  <si>
    <t>Academic Interest, Sustainable Development Goals, Community Empowerment</t>
  </si>
  <si>
    <t>Practical Experience: They may have the opportunity to work in a laboratory or field setting, conducting water quality tests, collecting samples, and analyzing data. This practical experience can enhance their skills and prepare them for real-world scenarios</t>
  </si>
  <si>
    <t>Water resource and irrigation engineering</t>
  </si>
  <si>
    <t>Undergraduation 5th year</t>
  </si>
  <si>
    <t>Sustainable Development Goals</t>
  </si>
  <si>
    <t xml:space="preserve">to gain a skill and knowledge about water quality test and make it practical with in a society and beyond the society I'm going to live in . </t>
  </si>
  <si>
    <t>water resources and irrigation engineering</t>
  </si>
  <si>
    <t>UG 5th year (graduating class)</t>
  </si>
  <si>
    <t>Global Impact</t>
  </si>
  <si>
    <t>I want to gain stronger laboratory skills, I want to learn more about careers in this field</t>
  </si>
  <si>
    <t>I expect to gain practical knowledge on water quality that will help me in my future career.</t>
  </si>
  <si>
    <t xml:space="preserve">Water Resources Engineering </t>
  </si>
  <si>
    <t>Undergraduate 4th Year</t>
  </si>
  <si>
    <t>Academic Interest</t>
  </si>
  <si>
    <t>I want to learn more to satisfy my academic curiosity, I want to gain stronger laboratory skills, I think it will make it easier to get a job when I graduate, I want to learn more about careers in this field, I think it will be a way to differentiate myself from my peers in applying for jobs or graduate school, It is an opportunity to have a funded thesis project, I know friends or colleagues who are planning to participate and I think it will be fun, to improve the water quality of our people</t>
  </si>
  <si>
    <t xml:space="preserve">i will gain more knowledge on water quality </t>
  </si>
  <si>
    <t xml:space="preserve">water supply and irrigation </t>
  </si>
  <si>
    <t xml:space="preserve">Knowing about water quality treatment in details </t>
  </si>
  <si>
    <t>Civil</t>
  </si>
  <si>
    <t>Undergraduate 5th year</t>
  </si>
  <si>
    <t>I want to learn more to satisfy my academic curiosity, I want to learn more about careers in this field</t>
  </si>
  <si>
    <t>To develop research implementation skill
To recognize the professional sponsorship and develop my knowledge, Like a workshop 
To support some funds for data collection</t>
  </si>
  <si>
    <t>water supply and sanitation engineering</t>
  </si>
  <si>
    <t>Academic Interest, Global Impact</t>
  </si>
  <si>
    <t>I want to learn more to satisfy my academic curiosity, I want to gain stronger laboratory skills, I think it will make it easier to get a job when I graduate, I want to learn more about careers in this field, I think it will be a way to differentiate myself from my peers in applying for jobs or graduate school, It is an opportunity to have a funded thesis project, I know friends or colleagues who are planning to participate and I think it will be fun</t>
  </si>
  <si>
    <t xml:space="preserve">I  think  after the end of this training I have strong skill both lab and field experiences </t>
  </si>
  <si>
    <t xml:space="preserve">Hydraulic and water  resource engineering </t>
  </si>
  <si>
    <t xml:space="preserve">I want to learn more to satisfy my academic curiosity, I want to gain stronger laboratory skills, I think it will make it easier to get a job when I graduate, I want to learn more about careers in this field, It is an opportunity to have a funded thesis project, I know friends or colleagues who are planning to participate and I think it will be fun, To get real world experience and to free from confusions when Ijob </t>
  </si>
  <si>
    <t>I expect to get practical knowledge and to know real work systems and to be free from confusions when I join the job</t>
  </si>
  <si>
    <t xml:space="preserve">Water resources and irrigation engineering </t>
  </si>
  <si>
    <t xml:space="preserve">Personal Experience, Academic Interest, Global Impact, Sustainable Development Goals, Innovation and Technology, Policy and Advocacy, Community Empowerment, To get good friends </t>
  </si>
  <si>
    <t>Please select the types of topics or training activities you participated in as part of the fellowship program (select all that apply)</t>
  </si>
  <si>
    <t>Which of the fellowship activities or training topics were most beneficial to you?</t>
  </si>
  <si>
    <t>What types of additional training or activities do you wish were included?</t>
  </si>
  <si>
    <t xml:space="preserve">Did you participate in a field data collection effort? </t>
  </si>
  <si>
    <t>Please indicate where you agree or disagree with the following statement: "The field data collection activity was a positive educational experience"</t>
  </si>
  <si>
    <t>What are the main reasons for the rating in the above question?</t>
  </si>
  <si>
    <t>State one or two specific aspects of the field data collection activity that you wish could be done differently or improved.</t>
  </si>
  <si>
    <t xml:space="preserve">Did you work on an academic thesis project related to this work?  </t>
  </si>
  <si>
    <t>If yes, please briefly describe your thesis project (one or two sentences)</t>
  </si>
  <si>
    <r>
      <t xml:space="preserve">How would you rate your general knowledge about </t>
    </r>
    <r>
      <rPr>
        <b/>
        <sz val="10"/>
        <color theme="1"/>
        <rFont val="Arial"/>
      </rPr>
      <t>water quality testing</t>
    </r>
    <r>
      <rPr>
        <sz val="10"/>
        <color theme="1"/>
        <rFont val="Arial"/>
      </rPr>
      <t xml:space="preserve"> at the completion of the fellowship?</t>
    </r>
  </si>
  <si>
    <r>
      <t>How would you rate your knowledge or experience with</t>
    </r>
    <r>
      <rPr>
        <b/>
        <sz val="10"/>
        <color theme="1"/>
        <rFont val="Arial"/>
      </rPr>
      <t xml:space="preserve"> laboratory work</t>
    </r>
    <r>
      <rPr>
        <sz val="10"/>
        <color theme="1"/>
        <rFont val="Arial"/>
      </rPr>
      <t xml:space="preserve">  at the completion of the fellowship?</t>
    </r>
  </si>
  <si>
    <r>
      <t xml:space="preserve">How do you rate your knowledge or experience with </t>
    </r>
    <r>
      <rPr>
        <b/>
        <sz val="10"/>
        <color theme="1"/>
        <rFont val="Arial"/>
      </rPr>
      <t>field work</t>
    </r>
    <r>
      <rPr>
        <sz val="10"/>
        <color theme="1"/>
        <rFont val="Arial"/>
      </rPr>
      <t xml:space="preserve"> (sampling, field testing, conducting surveys) at the completion of the fellowship?</t>
    </r>
  </si>
  <si>
    <t>After completing the fellowship program, how interested are you in a career in water quality testing, drinking water, or WASH (water, sanitation, and hygiene)?</t>
  </si>
  <si>
    <t>Were your expectations of the fellowship program met?</t>
  </si>
  <si>
    <t>How do you think this fellowship program might help your career in the future? [select all that apply]</t>
  </si>
  <si>
    <t>State one or two specific aspects of the fellowship program that you wish could be maintained</t>
  </si>
  <si>
    <t>State one or two specific aspects of the fellowship program that you wish could be done differently or improved</t>
  </si>
  <si>
    <t>On a scale of 1 to 10, (where 1 means DON'T RECOMMEND) to 10 (where 10 means STRONGLY RECOMMEND), how likely are you to recommend the fellowship program to a classmate?</t>
  </si>
  <si>
    <t>What is your major / course of study?</t>
  </si>
  <si>
    <t>In what class year did you start the fellowship?</t>
  </si>
  <si>
    <t>All listed above</t>
  </si>
  <si>
    <t xml:space="preserve">Parameters test </t>
  </si>
  <si>
    <t xml:space="preserve">About R program and other program analysis </t>
  </si>
  <si>
    <t>Yes</t>
  </si>
  <si>
    <t>Strongly agree</t>
  </si>
  <si>
    <t>I get knowledge from it</t>
  </si>
  <si>
    <t>I have improved it</t>
  </si>
  <si>
    <t>No</t>
  </si>
  <si>
    <t>Met Expectations</t>
  </si>
  <si>
    <t xml:space="preserve">I expected as we trained </t>
  </si>
  <si>
    <t>I don’t think it will help me at all, 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</si>
  <si>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Am improved in drinking water quality testing, R program, laboratory and others</t>
  </si>
  <si>
    <t>I stated as above</t>
  </si>
  <si>
    <t xml:space="preserve">Because it is very important </t>
  </si>
  <si>
    <t xml:space="preserve">BSc fresh graduate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</si>
  <si>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additionally learing how to conduct and works with team and develope cooperation works in addtion to the above topics</t>
  </si>
  <si>
    <t>All are the most beneficial because the topics ara condtional training .</t>
  </si>
  <si>
    <t xml:space="preserve">It may be include how to communicate the community,when we collect the samples
,communication is the most beneficial instrument to get the correct survey or data .There fore communication training must be included. </t>
  </si>
  <si>
    <t xml:space="preserve">before analysis the data the field data collection must be collected, so field data collection is the strong educational experience rather hand in the theoretical knowledge. There fore field data collection is positive educational experience </t>
  </si>
  <si>
    <t>1,One aspect that could be improved in the field data collection real data validation tool or calibration before done the field.
2,and another aspects checked the cleaned after the data collection, which can reduces the error and get accurate results.</t>
  </si>
  <si>
    <t>In an academic thesis project on drinking water quality testing, the focus would be on assessing the safety and purity of water sources.</t>
  </si>
  <si>
    <t>Expectations were Exceeded</t>
  </si>
  <si>
    <t>The water quality testing fellowship don't expected in these way ,but the training are over expected.</t>
  </si>
  <si>
    <t>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</si>
  <si>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One aspect of the fellowship program is  to get the network opportunity because the training connection with experts.</t>
  </si>
  <si>
    <t>One aspect of the fellowship program is  to get the network opportunity because the training connection with experts.
 Second aspect access to resources and funds for 
research and projects</t>
  </si>
  <si>
    <t xml:space="preserve">I recommend strongly the drinking water quality testing fellowship due to beneficial for the above reason </t>
  </si>
  <si>
    <t xml:space="preserve">Hydraulics and water resource engineering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</si>
  <si>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t>
  </si>
  <si>
    <t>Training on how drinking water quality affects people's health. Learning how to analyze data using R.</t>
  </si>
  <si>
    <t>Individual based activity tasks which helps each person to be responsible.</t>
  </si>
  <si>
    <t xml:space="preserve">It helps to analyze the impact of water quality on health, which is a positive educational experience, to be able to carefully collect those datas to interpret them into some meaningful conclusions and to suggest recommendations to assure the quality of that water. </t>
  </si>
  <si>
    <t>I wish we could done some house hold survey in very rural areas and poor communities.</t>
  </si>
  <si>
    <t>Expectations were Far Exceeded</t>
  </si>
  <si>
    <t>It is hands on training equipping the trainees with both knowledge and practice. That's why.</t>
  </si>
  <si>
    <t>It made me interested in graduate school or further study</t>
  </si>
  <si>
    <t>The data analysis in R.</t>
  </si>
  <si>
    <t>Keep it like this I observed amazing 6 modules which are crafted with a great care and study.</t>
  </si>
  <si>
    <t>It helps to make you a good professional on water quality testing.</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</si>
  <si>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how to conduct surveys in communities, Learning how to analyze data using R (or other software)</t>
  </si>
  <si>
    <t>Learning how to analyze data using R , Learning how to conduct microbial testing (e.g., E. coli testing) in a laboratory or field laboratory setting and Learning about quality assurance / quality control procedures for water quality testing</t>
  </si>
  <si>
    <t>observing a water treatment system starting from Source specially for surface source and building our capacity on each steps in treatment plant as a profession.</t>
  </si>
  <si>
    <t>As a WATER ENGINEER we should have to know how data collected and What make data quality bad and Good, from the data collecting session we tried to understood how to collect data in A good manner and why some professionals cook data.</t>
  </si>
  <si>
    <t>Nothing to comment</t>
  </si>
  <si>
    <t xml:space="preserve">But, some how on Irrigation Water Management. Our Thesis was titled as " Estimation and mapping of Crop water Requirement(ETc) calculator Mobile Application " . Just to Link to the above question, if our society learned how to use water properly for irrigation why the wouldn't for drinking?. </t>
  </si>
  <si>
    <t>Before starting the training, my expectation was not good. I didn't expect it could help me that much. However, from August 6th until the end of the training, it was a challenging day and night for me. The issues I heard daily about drinking water quality made me sensitive for my people, especially children and the elderly. Seeing how they were affected and understanding the reasons why it had not improved clearly saddened me. Honestly speaking, the training created a passion in me to do good things in this area, and I started asking myself, "Is this training telling me the purpose for which God created me?" That is why I can say, "My expectations were far exceeded."</t>
  </si>
  <si>
    <t>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 It gave me a new passion and purpose to live.</t>
  </si>
  <si>
    <t>The familial spirit between trainers and trainees, combined with practical and tutorial sessions, enriches the seminar experience</t>
  </si>
  <si>
    <t xml:space="preserve">Nothing to comment </t>
  </si>
  <si>
    <t xml:space="preserve">It's Eye opening training. </t>
  </si>
  <si>
    <t>5th Year, Before Graduation.</t>
  </si>
  <si>
    <t>Learning how to conduct microbial testing (e.g., E. coli testing) in a laboratory or field laboratory setting</t>
  </si>
  <si>
    <t>Advanced Water Quality Testing, Water Safety Planning, Fieldwork and Community Engagement &amp; Data Analysis and Interpretation: A focus on analyzing water quality data, understanding trends, and making informed decisions based on the results.</t>
  </si>
  <si>
    <t>Hands-On Experience, Effective Guidance, Real-World Challenges, Teamwork, Skill Application, Engaging Learning, Learning Objectives Met, Immediate Feedback.</t>
  </si>
  <si>
    <t>Enhancing the quality and availability of field equipment could improve the efficiency and accuracy of data collection.</t>
  </si>
  <si>
    <t>My thesis project focused on assessing the efficiency and challenges of the Legedadi Water Treatment Plant in providing safe drinking water. The study involved analyzing water quality parameters and evaluating the plant's treatment processes.</t>
  </si>
  <si>
    <t>The fellowship program exceeded my expectations due to the high-quality training and extensive hands-on experience provided. Additionally, the supportive mentors and opportunity to apply knowledge in real-world settings greatly enhanced my learning and professional growth.</t>
  </si>
  <si>
    <t>It made me interested in graduate school or further study, It made me aware of other possible career paths,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</si>
  <si>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I would like the fellowship program to maintain its emphasis on hands-on training and strong mentorship support, as these were crucial in developing practical skills and providing valuable guidance throughout the program.</t>
  </si>
  <si>
    <t>Diverse Training Topics: Introduce a broader range of topics or specialized training sessions to cater to different interests and career paths.</t>
  </si>
  <si>
    <t>I rated the fellowship program a 10 because of its comprehensive hands-on training, which provided valuable practical experience, and the exceptional mentorship, which offered personalized guidance and support. Additionally, the program's real-world application of skills and opportunities for professional growth made it highly beneficial and worth recommending to others.</t>
  </si>
  <si>
    <t xml:space="preserve">Water Resource and Irrigation Engineering </t>
  </si>
  <si>
    <t xml:space="preserve">Undergraduate 5th year </t>
  </si>
  <si>
    <t>I found all of them are beneficial for me</t>
  </si>
  <si>
    <t xml:space="preserve">Fecal contamination test in laboratory </t>
  </si>
  <si>
    <t xml:space="preserve">Because learning only does no make perfect so you have to see the real world experience </t>
  </si>
  <si>
    <t xml:space="preserve">I have learnt more than I expected </t>
  </si>
  <si>
    <t>It gave me more confidence in my technical skills</t>
  </si>
  <si>
    <t xml:space="preserve">Because it is use full to understand about water quality </t>
  </si>
  <si>
    <t xml:space="preserve">Fresh graduate </t>
  </si>
  <si>
    <t xml:space="preserve">How to collect sample ,how to test the sample for different parameters and how to conduct surveys in community </t>
  </si>
  <si>
    <t>The data analysis part it need more time to capture what we want and for I wish that data analysis should given enough time to address well it.</t>
  </si>
  <si>
    <t>Because it equipped me somehow better experience than what I have learnt in class</t>
  </si>
  <si>
    <t>Conduct survey because when we were conducting it there was actually in rainy season duty that the GPS is not properly working and it doesn't give precise location .</t>
  </si>
  <si>
    <t xml:space="preserve">The reason is that what I got after training is actually much better than what I have been expecting </t>
  </si>
  <si>
    <t>It gave me knowledge about research methods to help in future studies, It gave me practical skills that I can use in a future job, It gave me more confidence in my technical skills</t>
  </si>
  <si>
    <t xml:space="preserve">Data collection , testing and conducting survey </t>
  </si>
  <si>
    <t xml:space="preserve">Conducting survey </t>
  </si>
  <si>
    <t xml:space="preserve">Because it is actually very useful and 
I can say that mandatory training for those guys they have related academic department </t>
  </si>
  <si>
    <t>All</t>
  </si>
  <si>
    <t>Water supply design</t>
  </si>
  <si>
    <t xml:space="preserve">Because we aquire practical knowladge </t>
  </si>
  <si>
    <t xml:space="preserve">Way of Data collection should be taken as very serious </t>
  </si>
  <si>
    <t xml:space="preserve"> to improve for the next fellowship </t>
  </si>
  <si>
    <t xml:space="preserve">All way of serving </t>
  </si>
  <si>
    <t>Needs nothing improved</t>
  </si>
  <si>
    <t>To maintain knowledge until the end  that we aquire</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</si>
  <si>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Learning about how water quality related with economy ,number ,behavioural thinking,and other with communities</t>
  </si>
  <si>
    <t xml:space="preserve">Data analysis </t>
  </si>
  <si>
    <t>All of them are good</t>
  </si>
  <si>
    <t>Because i gather the experiance how become surveyor</t>
  </si>
  <si>
    <t>I don't get the point of the question</t>
  </si>
  <si>
    <t xml:space="preserve">Because my expectation is less but after the fellowship i get alot of thing even if can't count them </t>
  </si>
  <si>
    <t xml:space="preserve">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give point of view how water quality of ethoiapian community look like </t>
  </si>
  <si>
    <t>On the data analysis module time is more less b/c data analysis need more days to compute</t>
  </si>
  <si>
    <t>All of it is good keep it up</t>
  </si>
  <si>
    <t>My classmates need to know the knowledge what i get because it is essential</t>
  </si>
  <si>
    <t>Learning how to test physical-chemical parameters like pH, electrical conductivity, and turbidity, E.coli</t>
  </si>
  <si>
    <t>Project work that may solve real problem related to water quality</t>
  </si>
  <si>
    <t xml:space="preserve">Because it reveals the real working life </t>
  </si>
  <si>
    <t xml:space="preserve">It is better to have a letter in order to get information from where data to be collected </t>
  </si>
  <si>
    <t xml:space="preserve">To know how we were satisfied and capture the training </t>
  </si>
  <si>
    <t>It made me aware of other possible career paths,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</si>
  <si>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Field data collection, lab demonstration</t>
  </si>
  <si>
    <t>In R program, enough time and computer accessories shall served to trainee</t>
  </si>
  <si>
    <t xml:space="preserve">Because it is good having understanding the impact of water quality in our society </t>
  </si>
  <si>
    <t>Civil engineering</t>
  </si>
  <si>
    <t xml:space="preserve">Fifth </t>
  </si>
  <si>
    <t xml:space="preserve">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i learned  collecting samples and import data using mwater </t>
  </si>
  <si>
    <t>learning how to conduct microbial testing and maesuring physical -chemical parameters</t>
  </si>
  <si>
    <t xml:space="preserve">how improve the drinking water quality of the peoples based different limitations like economy </t>
  </si>
  <si>
    <t xml:space="preserve">because it indicates the real quality of water that community or household or others </t>
  </si>
  <si>
    <t>microbial</t>
  </si>
  <si>
    <t>because i didn't expect from my background experiences on the programs and instructor's</t>
  </si>
  <si>
    <t>laboratory and field works</t>
  </si>
  <si>
    <t>r programming</t>
  </si>
  <si>
    <t xml:space="preserve">it a best program to increase their knowledge and to improve their  awareness how much water quality affect our people health </t>
  </si>
  <si>
    <t>water resource engineering</t>
  </si>
  <si>
    <t xml:space="preserve">the programming one (Data analaysis </t>
  </si>
  <si>
    <t xml:space="preserve">more about data analysis using the samples we taken </t>
  </si>
  <si>
    <t>Agree</t>
  </si>
  <si>
    <t>we get the general grits in how it is done but due to political reasons and safety issues we were not able to do filed test on a wider range</t>
  </si>
  <si>
    <t>more about data collection on house hold data</t>
  </si>
  <si>
    <t xml:space="preserve">because we were expecting the training to be a superfishial one we were glad we took the training </t>
  </si>
  <si>
    <t>the data analysis and the field part</t>
  </si>
  <si>
    <t>no thing in mind but just add a one day brake through out the fellowship</t>
  </si>
  <si>
    <t>the general knowledge and skills i gain both for knowledge and practical skills</t>
  </si>
  <si>
    <t>Water Resource and Irrigation Engineering</t>
  </si>
  <si>
    <t>a graduate (fresh) i was a 5th year student during the selection</t>
  </si>
  <si>
    <t xml:space="preserve">Field sample collection and microbial testing </t>
  </si>
  <si>
    <t>Community sensitization</t>
  </si>
  <si>
    <t>I really got a feeling of the really field basically the hardships</t>
  </si>
  <si>
    <t>Nothing</t>
  </si>
  <si>
    <t>I thought it was only to be theoretical but at the end it became more practical so I gained the skills</t>
  </si>
  <si>
    <t>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t>
  </si>
  <si>
    <t xml:space="preserve">The feeding </t>
  </si>
  <si>
    <t xml:space="preserve">More time in the field </t>
  </si>
  <si>
    <t>So educative</t>
  </si>
  <si>
    <t xml:space="preserve">BACHELOR OF SCIENCE IN WATER AND IRRIGATION ENGINEERING </t>
  </si>
  <si>
    <t xml:space="preserve">Learning how to test for physical and chemical parameters in the field </t>
  </si>
  <si>
    <t xml:space="preserve">More time is needed for analyzing data using Rstudio </t>
  </si>
  <si>
    <t xml:space="preserve">My practical skills and experience enhanced during the field data collection activity </t>
  </si>
  <si>
    <t>Need to conduct hydrological surveys in most of Mukono subcounties before constructing boreholes to avoid over depletion of Aquifers</t>
  </si>
  <si>
    <t>The fellowship offered alot of knowledge that i didn't expect to get and also improved my communication skills and team work</t>
  </si>
  <si>
    <t xml:space="preserve">In - semester training and mock training before the actual field </t>
  </si>
  <si>
    <t xml:space="preserve">The period of teaching for Rstudio data analysis </t>
  </si>
  <si>
    <t xml:space="preserve">There is alot to learn that is not expected when applying </t>
  </si>
  <si>
    <t xml:space="preserve">Bachelor of science in Bioprocessing Engineering </t>
  </si>
  <si>
    <t>Data analysis, water sampling, water quality testing.</t>
  </si>
  <si>
    <t>Waste water treatment</t>
  </si>
  <si>
    <t>Strongly disagree</t>
  </si>
  <si>
    <t>I got a lot of practical experience from the fellowship that I didn't have at the beginning of the fellowship</t>
  </si>
  <si>
    <t xml:space="preserve"> </t>
  </si>
  <si>
    <t>The activities we took part in are the same activities i expected</t>
  </si>
  <si>
    <t>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</si>
  <si>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Data analysis, mock sampling and testing</t>
  </si>
  <si>
    <t>Data analysis. Its should be given more time</t>
  </si>
  <si>
    <t xml:space="preserve">The fellowship gives practical experience that one can never get in a normal teaching semster </t>
  </si>
  <si>
    <t>Civil Engineering</t>
  </si>
  <si>
    <t xml:space="preserve">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Learning about the JMP drinking water servie ladder and also how to </t>
  </si>
  <si>
    <t>Learning to conduct microbial testing and conducting community surveys</t>
  </si>
  <si>
    <t>Visiting companies that make point water use treatment technologies</t>
  </si>
  <si>
    <t>I learnt about community entry and the need for consent before engaging in any field data collection activities</t>
  </si>
  <si>
    <t>Communicating to the locals about the programs through radio presentations.</t>
  </si>
  <si>
    <t xml:space="preserve">The expectations were exceedee because of the quality of services provided. Our instructors were beyond professional yet very approachable. The environment was welcoming. </t>
  </si>
  <si>
    <t xml:space="preserve">The field data collection
The laboratory analysis
</t>
  </si>
  <si>
    <t>The online webinars could be done differently</t>
  </si>
  <si>
    <t>Understanding proximity of water challenges can truly encourage water professionals to up their game in becoming problem solvers.</t>
  </si>
  <si>
    <t xml:space="preserve">Bsc. Water and Irrigation Engineering </t>
  </si>
  <si>
    <t>Data analysis using R</t>
  </si>
  <si>
    <t>Non but Data analysis need to be given more time.</t>
  </si>
  <si>
    <t xml:space="preserve">Because we learnt alot in the hands on experience while in field </t>
  </si>
  <si>
    <t>All the methods to me where fine</t>
  </si>
  <si>
    <t>All I expected I got it even more</t>
  </si>
  <si>
    <t>The in class modules explains the theory very well before feild begins</t>
  </si>
  <si>
    <t xml:space="preserve">Duration of training should be increased </t>
  </si>
  <si>
    <t>The fellowship opens up someone's way of seeing things</t>
  </si>
  <si>
    <t xml:space="preserve">Agricultural Engineering </t>
  </si>
  <si>
    <t xml:space="preserve">This fellowship has intrigued more to specialize in water quality in my future prospects,hence all the topics were fully vital to me and very important </t>
  </si>
  <si>
    <t xml:space="preserve">Let the practicals be alternated with the theory so as the students can fully understand other than waiting to finish almost half of the theoretical part and then start on the practicals </t>
  </si>
  <si>
    <t xml:space="preserve">This opened up my perspective of what really happens in the real world interns of implementing what we study in class, and I made me appreciate that community entry is not an easy task that one should learn as a soft skill because at the end of it all we would go out to the community </t>
  </si>
  <si>
    <t>Assessing the points and community entry</t>
  </si>
  <si>
    <t xml:space="preserve">It included the background of the fellowship,the literature review,the methodology used ,the results, and conclusion </t>
  </si>
  <si>
    <t xml:space="preserve">I gained knowledge, network,a certificate for completion,and applied what I learnt in the real world </t>
  </si>
  <si>
    <t>It made me interested in graduate school or further study, It made me aware of other possible career paths, It gave me practical skills that I can use in a future job, It gave me more confidence in my technical skills, It allowed me to network with other students and create new relationships</t>
  </si>
  <si>
    <t xml:space="preserve">Diversity in student selection in the participation of the fellowship,the lecturers delivering the academic package should be maintained </t>
  </si>
  <si>
    <t xml:space="preserve">Let the practicals  be alternated with the theory sessions </t>
  </si>
  <si>
    <t xml:space="preserve">It is a holistic experience,both improve one academically, socially that are main objectives of the an under graduate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</si>
  <si>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Methods of drinking water treatment (both centralized and PoU)</t>
  </si>
  <si>
    <t>Practical water quality analysis trainings, field sampling and testing</t>
  </si>
  <si>
    <t>N/A</t>
  </si>
  <si>
    <t>The field data collection was very vital in applying and learning practical water quality analysis skills.</t>
  </si>
  <si>
    <t>The fellowship experience was wholesome (with both practical and theoretical training on water quality analysis)</t>
  </si>
  <si>
    <t xml:space="preserve">Field data collection and community engagement </t>
  </si>
  <si>
    <t>The fellowship experience is wholesome (with both practical and theoretical training on water quality analysis)</t>
  </si>
  <si>
    <t xml:space="preserve">Bsc. Water &amp; Irrigation Engineering </t>
  </si>
  <si>
    <t>Learning how to conduct microbial testing</t>
  </si>
  <si>
    <t>Salmonella testing</t>
  </si>
  <si>
    <t>I was exposed to different communities</t>
  </si>
  <si>
    <t>Sample collection - Testing Time should be minimized more</t>
  </si>
  <si>
    <t>Not Thesis project</t>
  </si>
  <si>
    <t>I gained various skills in water quality testing</t>
  </si>
  <si>
    <t>It made me interested in graduate school or further study, It made me aware of other possible career paths, It gave me a competitive advantage, which will increase my job opportunity / employability</t>
  </si>
  <si>
    <t>Excellent module coverages</t>
  </si>
  <si>
    <t>Data Analysis module should be given more time</t>
  </si>
  <si>
    <t>New water quality testing skills acquired</t>
  </si>
  <si>
    <t>Bachelor of science in Agricultural Engineering</t>
  </si>
  <si>
    <t>To me everything we covered on water quality testing was equally essential</t>
  </si>
  <si>
    <t>Culture media preparation for supporting E.coli growth, we should have prepared this by ourselves in the laboratory</t>
  </si>
  <si>
    <t xml:space="preserve">1. I was able to apply classroom knowledge to field work.
2. I was able to utilize various equipment to analyze water parameters and indicators.
3. I developed skills in sample collection, stakeholder collaboration and adaptability through expose to diverse field conditions like inclement weather, equipment malfunction and remote locations. 
4.I also developed special skills in effective communication, flexibility, equipment maintenance, quality control and assurance. 
5. All in all, this training demonstrated the interconnectedness of Bioprocessing Engineering and Water quality testing in ensuring effective water management. </t>
  </si>
  <si>
    <t>I suggest the use of pocket Mi-fi, to help strength the network signals especially in the remote locations where the network is unfavorable, which hinders locating of water points using GPS and mWater Maps</t>
  </si>
  <si>
    <t>The thesis decribes the interconnectedness of water quality testing and my field of study, "Bioprocessing engineering" Which emphasizes the need for a holistic approach to ensure reliable data and effective water management</t>
  </si>
  <si>
    <t>The fellowship provided a comprehensive training that involved I integrating both theoretical and practical modules from which I was able to develop and learnt diverse skills through exposure to various field experiences</t>
  </si>
  <si>
    <t>The Courses/programs that were considered eg Bioprocessing Engineering, Civil, Agricultural, Water and industrial Chemistry</t>
  </si>
  <si>
    <t>Testing for chemical water parameters as well</t>
  </si>
  <si>
    <t>It's because the lessons learnt during the fellowship training are the same as those learnt else where irrespective of the field one practices from in different fields</t>
  </si>
  <si>
    <t>Bsc. Bioprocessing Engineering</t>
  </si>
  <si>
    <t>How to test the microbial samples in the laboratory</t>
  </si>
  <si>
    <t>We would have tested the quality of water in the various households because water from the water point goes through a long process before it actually gets consumed. This would actually let us know the quality of water consumed by the people</t>
  </si>
  <si>
    <t>It is because it made me understand the need for being clean before collecting i.e the microbial sample which kept the sample from contamination. I maintained this by continuously using gloves and sterilizing my hands using sanitizers.</t>
  </si>
  <si>
    <t>We should collect data from hoiuseholds</t>
  </si>
  <si>
    <t>I personally added new softwares in my collection such as the R software</t>
  </si>
  <si>
    <t>Involving the students to clean their own data using the R software and good accomodation of the student fellows</t>
  </si>
  <si>
    <t>Nothing really, everything was perfect</t>
  </si>
  <si>
    <t>Gives you a foundation of water quality and more interst in the WASH sector.</t>
  </si>
  <si>
    <t>Bachelor of Scinece in Water and Irrigation Engineering</t>
  </si>
  <si>
    <t xml:space="preserve">Learning how to conduct microbial testing </t>
  </si>
  <si>
    <t>Doing other microbial tests like salmonella typhi</t>
  </si>
  <si>
    <t xml:space="preserve">I was able to do community entry and discovered different norms and beliefs in communities </t>
  </si>
  <si>
    <t xml:space="preserve">The surveys on Mwater </t>
  </si>
  <si>
    <t>It was in line with my course and I was catered for well</t>
  </si>
  <si>
    <t>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</si>
  <si>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 xml:space="preserve">The rich course modules </t>
  </si>
  <si>
    <t xml:space="preserve">Nothing </t>
  </si>
  <si>
    <t xml:space="preserve">It is rich in knowledge of my course and creates connections </t>
  </si>
  <si>
    <t xml:space="preserve">Bioprocessing engineering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</si>
  <si>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Handling water samples, report writing</t>
  </si>
  <si>
    <t>Field work activities( though all of them were beneficial)</t>
  </si>
  <si>
    <t xml:space="preserve">Water treatment and testing of more parameters as most parameters affect each other </t>
  </si>
  <si>
    <t>It gave me an understanding of how to approach different people in communities and also how important well collected data is</t>
  </si>
  <si>
    <t>Bigger cooler bags would do a better job in holding larger number of samples</t>
  </si>
  <si>
    <t>It was interesting to learn how results can be presented for interpretation of any reader</t>
  </si>
  <si>
    <t xml:space="preserve">It was more than just a training session/program, I learnt more than I actually had expected </t>
  </si>
  <si>
    <t>It gave me a competitive advantage, which will increase my job opportunity / employability</t>
  </si>
  <si>
    <t>Testing of local water sources
Having students from different departments</t>
  </si>
  <si>
    <t>Testing should be done on water sources that are used by people as sources of drinking water</t>
  </si>
  <si>
    <t>It was the best training one would get</t>
  </si>
  <si>
    <t xml:space="preserve">Bachelor of science in civil engineering </t>
  </si>
  <si>
    <t>They were all applicable especially because of the fact that I would want to take part in the water line.</t>
  </si>
  <si>
    <t>Actually taking part in drinking water processing.</t>
  </si>
  <si>
    <t>Because I applied what we had learnt in the different modules and it gave me a feel of field and what is done while in field for water quality testing.</t>
  </si>
  <si>
    <t>I found the field work good enough</t>
  </si>
  <si>
    <t xml:space="preserve">I learnt all I thought I needed to learn </t>
  </si>
  <si>
    <t>It made me interested in graduate school or further study,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</si>
  <si>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The unity</t>
  </si>
  <si>
    <t>None</t>
  </si>
  <si>
    <t xml:space="preserve">I learnt all about WASH and this can actually improve conditions in Uganda incase many are trained in water quality </t>
  </si>
  <si>
    <t xml:space="preserve">Data collection, processing and analysis of the results </t>
  </si>
  <si>
    <t xml:space="preserve">Research skills and paper writing for publication training </t>
  </si>
  <si>
    <t>It helped to learn how to work and interact with people in the field</t>
  </si>
  <si>
    <t>The mode of approaching the field</t>
  </si>
  <si>
    <t xml:space="preserve">The fellowship gave me confidence and flexibility in doing new aspects of engineering </t>
  </si>
  <si>
    <t>It gave me practical skills that I can use in a future job, It allowed me to network with other students and create new relationships, It gave me a competitive advantage, which will increase my job opportunity / employability</t>
  </si>
  <si>
    <t xml:space="preserve">The module content and welfare </t>
  </si>
  <si>
    <t xml:space="preserve">The module delivery can be more of student centered. 
More time may be given to the practical sessions </t>
  </si>
  <si>
    <t>The fellowship is a competitive advantage in the job market since it equips a student with more skills out of class</t>
  </si>
  <si>
    <t xml:space="preserve">Bachelor of science in Agricultural engineering </t>
  </si>
  <si>
    <t xml:space="preserve">Data analysis using R and how to test for water quality parameters </t>
  </si>
  <si>
    <t xml:space="preserve">
Mapping of water points</t>
  </si>
  <si>
    <t>I managed to gain various skills in this process 
Which skills can not be taught in class</t>
  </si>
  <si>
    <t xml:space="preserve">Navigation </t>
  </si>
  <si>
    <t>Water quality is affected by biofilm in storage units like water tanks</t>
  </si>
  <si>
    <t xml:space="preserve">I got to learn and gain all the knowledge I wished to gain and experienced the hands on aspects of the fellowship which was a very beautiful experience </t>
  </si>
  <si>
    <t>I believe all the aspects should be maintained but since you asked for two
The field data collection and data analysis using R</t>
  </si>
  <si>
    <t xml:space="preserve">It’s a lovely experience with a lot of knowledge attached to it and great opportunities attached to it after gaining all this knowledge </t>
  </si>
  <si>
    <t xml:space="preserve">Bachelor of Science in water and irrigation engineering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</si>
  <si>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analyze data using R (or other software)</t>
  </si>
  <si>
    <t>Data Analysis using R.</t>
  </si>
  <si>
    <t>Generating a feedback report to the community leaders and other partitioners of the project.</t>
  </si>
  <si>
    <t>Data collection is relevant broadly across different sectors in engineering.</t>
  </si>
  <si>
    <t>Engagement of the community members through local radio stations prior to field sampling so that they are aware of the activities and its relevance.</t>
  </si>
  <si>
    <t>The field of water quality has never appeared so broad, sensitive and beneficial like I do look at it now.</t>
  </si>
  <si>
    <t>Student centred discussions with Lecturer supervisions.</t>
  </si>
  <si>
    <t>The time for theoretical learning should match time for practical learning and application.</t>
  </si>
  <si>
    <t>It's very beneficial to a student's career in the sector of water quality, and engineering research.</t>
  </si>
  <si>
    <t xml:space="preserve">Bachelor's of Science in Agricultural Engineering </t>
  </si>
  <si>
    <t xml:space="preserve">How to conduct microbial testing, how drinking water quality affects people's health </t>
  </si>
  <si>
    <t>Teaching fellows how to construct effective water sources</t>
  </si>
  <si>
    <t xml:space="preserve">We really learned a lot about water quality which we didn't know before the fellowship </t>
  </si>
  <si>
    <t xml:space="preserve">Increase more time for data analysis practice </t>
  </si>
  <si>
    <t xml:space="preserve">Our Profs made sure that every person participated individually.. that gave us chance to understand water testing at a personal basis </t>
  </si>
  <si>
    <t>It made me interested in graduate school or further study, It made me aware of other possible career paths, It gave me knowledge about research methods to help in future studies, It gave me practical skills that I can use in a future job, It allowed me to network with other students and create new relationships, It gave me a competitive advantage, which will increase my job opportunity / employability</t>
  </si>
  <si>
    <t>Individual involvement in the study</t>
  </si>
  <si>
    <t>Every fellow should be well conversant with the usage of the testing equipments</t>
  </si>
  <si>
    <t>It widens ones career paths... for example me at first I didn't know much about water quality but right now that's where I want to concentrate for my career</t>
  </si>
  <si>
    <t xml:space="preserve">Bachelor of science in Agricultural Engineering </t>
  </si>
  <si>
    <t>Learning how to collect samples in the field from various source types and testing physical chemical parameters like pH ,EC,
Learning about quality assurance or quality control procedures for water quality testing 
Learning how to conduct microbial testing (e.g Ecoli testing) in a laboratory or field laboratory setting 
Conducting surveys in communities</t>
  </si>
  <si>
    <t xml:space="preserve">Water quality modelling and simulation </t>
  </si>
  <si>
    <t xml:space="preserve">It's because data collection is a crucial tool for data analysis in relation to my course concerning with Water quality treatment/testing </t>
  </si>
  <si>
    <t>Laboratory analysis,more filtration units to be added in order to fasten the processing of the samples before they expire</t>
  </si>
  <si>
    <t xml:space="preserve">Waste fish scales as low sustainable potential adsorbents for Ecoli removal in drinking Water </t>
  </si>
  <si>
    <t xml:space="preserve">My skills in water sampling in field and laboratory analysis of the samples were so much improved 
Learnt how to conduct surveys in communities putting in mind community entry as the first priority 
Social capital was increased </t>
  </si>
  <si>
    <t xml:space="preserve">Training of the student fellows as this equips us with practical skills in the water quality field </t>
  </si>
  <si>
    <t xml:space="preserve">Laboratory processing units/ filtration units should be increased for faster processing of the samples </t>
  </si>
  <si>
    <t>Practical skills obtained that relate to the theory taught in class especially in the water quality class</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</si>
  <si>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water treatment systems (centralised and house hold)</t>
  </si>
  <si>
    <t>water treatment systems, conducting microbial and physical chemical testing</t>
  </si>
  <si>
    <t>trainings on proper communication</t>
  </si>
  <si>
    <t>i agree because during the field work one is able to observe some of the possible causes of contamination before even lab work.</t>
  </si>
  <si>
    <t xml:space="preserve">the community should be informed earlier maybe through </t>
  </si>
  <si>
    <t>I expected to use the knowledge outside the fellowship and i applied it at NWSC, Masindi branch</t>
  </si>
  <si>
    <t>It made me aware of other possible career paths, It gave me practical skills that I can use in a future job, It allowed me to network with other students and create new relationships, It gave me a competitive advantage, which will increase my job opportunity / employability</t>
  </si>
  <si>
    <t>mock sampling and reviewing modules</t>
  </si>
  <si>
    <t>should be doing corrections of those end of module tests.</t>
  </si>
  <si>
    <t>one is able to add on a skill that might become their next career</t>
  </si>
  <si>
    <t>BSC. AGRICULTURAL ENGINEERING</t>
  </si>
  <si>
    <t>Going back to the communities visited l, giving them feedback on quality of water and providing possible solution incase the water is of poor qua</t>
  </si>
  <si>
    <t>I effectively acquired both water quality testing skills and data analysis skills</t>
  </si>
  <si>
    <t>I genuinely acquired most of water quality testing skills that I expected and on top of that acquired data analysis skill.</t>
  </si>
  <si>
    <t>Facilitation</t>
  </si>
  <si>
    <t>Data analysis module</t>
  </si>
  <si>
    <t xml:space="preserve">The program is extremely organised </t>
  </si>
  <si>
    <t xml:space="preserve">Industrial Chemistry </t>
  </si>
  <si>
    <t>Learning how to conduct microbial testing in a labaratory, quality assurance, control and how to test physical parameters</t>
  </si>
  <si>
    <t>Enough time should be allocated to data analysis.</t>
  </si>
  <si>
    <t>I realized that the quality of water consumed in Mukono is fairly good which creates a big gap in the health sector</t>
  </si>
  <si>
    <t>Areas in which water points are located should be visited before and inform the local leaders of the activity to take place</t>
  </si>
  <si>
    <t>I learnt and enjoyed the fellowship at the same time.
I gained knowledge and skills that will make me exceptional and a very added advantage to my academic documents</t>
  </si>
  <si>
    <t>The lectures were conducted thoroughly prior to practicals making it a very educative session</t>
  </si>
  <si>
    <t>It is a cool experience where you learn, network with different people and enjoy the experience as well</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</si>
  <si>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Learning the basic community entry techniques</t>
  </si>
  <si>
    <t>Honestly all the modules, but in particular the water quality testing skills and data analysis.</t>
  </si>
  <si>
    <t>More on data analysis.</t>
  </si>
  <si>
    <t xml:space="preserve">I managed to gain the community entry techniques and experience in field data collection,and physical chemical testing </t>
  </si>
  <si>
    <t xml:space="preserve">Locating sites </t>
  </si>
  <si>
    <t>I got more than the experience in water quality testing, I got connections, I really had good time and it opened my journey into data analysis and environmental engineering.</t>
  </si>
  <si>
    <t>The state of the art lab work, the well tailored theoretical modules</t>
  </si>
  <si>
    <t>Locating sites</t>
  </si>
  <si>
    <t>It is the greatest chance he or she may ever get for a training.</t>
  </si>
  <si>
    <t xml:space="preserve">Bachelor of Science in Civil Engineering </t>
  </si>
  <si>
    <t xml:space="preserve">Collection and analysis of samples, community engagement </t>
  </si>
  <si>
    <t xml:space="preserve">I wish data analysis was given more time </t>
  </si>
  <si>
    <t xml:space="preserve">All the materials for doing the collection were provided on time and we were adequately prepared </t>
  </si>
  <si>
    <t xml:space="preserve">Provide phones for fellows whose phones were faulty or not functioning properly </t>
  </si>
  <si>
    <t xml:space="preserve">The knowledge that we expected from the fellowship was expertly delivered </t>
  </si>
  <si>
    <t xml:space="preserve">Everything should be maintained </t>
  </si>
  <si>
    <t xml:space="preserve">The data analysis course should be given more time </t>
  </si>
  <si>
    <t xml:space="preserve">It was an amazing experience full of sharing knowledge, experiences and getting to interact with students and lecturers from many courses. </t>
  </si>
  <si>
    <t>Literally all of them</t>
  </si>
  <si>
    <t xml:space="preserve">Different techniques of processing microbial samples besides the membrane filtration </t>
  </si>
  <si>
    <t xml:space="preserve">It was very practical and challenging in dealing with the community </t>
  </si>
  <si>
    <t xml:space="preserve">I didn't know the fellowship would have such a broad scope </t>
  </si>
  <si>
    <t xml:space="preserve">Everything </t>
  </si>
  <si>
    <t>For very obvious reasons of practical and theoretical knowledge that's attainable by completing the fellowship program</t>
  </si>
  <si>
    <t>Data analysis and microbial testing</t>
  </si>
  <si>
    <t>Everything was okay.</t>
  </si>
  <si>
    <t>We had available instructors.</t>
  </si>
  <si>
    <t xml:space="preserve">That enumeration to be done in atleast 2 districts </t>
  </si>
  <si>
    <t>I appreciated the information when I got to compare experiences of students in other training places.</t>
  </si>
  <si>
    <t>Schedule was very fine.</t>
  </si>
  <si>
    <t>Enumeration of more than 1 district such that scope is widened even for students.</t>
  </si>
  <si>
    <t>I have benefited so much not to want the same for someone else.</t>
  </si>
  <si>
    <t>Bachelors of Science in Water and Irrigation Engineering</t>
  </si>
  <si>
    <t xml:space="preserve">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Visiting a water treatment plant </t>
  </si>
  <si>
    <t xml:space="preserve">The knowledge and experience can be applied in all fields dealing with field data collection </t>
  </si>
  <si>
    <t xml:space="preserve">None </t>
  </si>
  <si>
    <t xml:space="preserve">I expected to gain practical skills in water quality testing which I met during the entire training session </t>
  </si>
  <si>
    <t xml:space="preserve">The fellowship staff sincerely should be maintained </t>
  </si>
  <si>
    <t xml:space="preserve">Knowledge and practical skills in water quality testing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</si>
  <si>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Learning to interact with the community when collecting water samples</t>
  </si>
  <si>
    <t>Learning how to conduct microbial testing right from the field to the laboratory.</t>
  </si>
  <si>
    <t>Most training is actually done well so I don’t think there are many gaps but data analysis training should be given more time.</t>
  </si>
  <si>
    <t>Collecting data from the field helped us know how the locals rate the quality of the water so that we can expect what we get from the testing of the parameters.</t>
  </si>
  <si>
    <t>The organisation of the activities had no problem.</t>
  </si>
  <si>
    <t>This program was really educative. I feel like I can work excellently with companies that do water quality testing.</t>
  </si>
  <si>
    <t xml:space="preserve">Teaching the data analysis module should be given more time for proper understanding </t>
  </si>
  <si>
    <t>It is because this is a training program one shouldn’t miss since it équipes one with various skills.</t>
  </si>
  <si>
    <t>Bachelor of science in water and irrigation engineering.</t>
  </si>
  <si>
    <t>Learning how to test physical-chemical parameters like pH, electrical conductivity, and turbidity, learning how to conduct microbial testing (e.g., E. coli testing) in a laboratory or field laboratory setting and learning about quality assurance / quality control procedures for water quality testing.</t>
  </si>
  <si>
    <t>I wish we could do more community outreaches and education to raise more awareness on water quality related issues</t>
  </si>
  <si>
    <t>I was able to collect data from very many water points hence gained a lot of experience</t>
  </si>
  <si>
    <t>Not any I can figure out</t>
  </si>
  <si>
    <t>The inclusion of webinars and field trips made it more interesting.</t>
  </si>
  <si>
    <t>Webinars and field trips</t>
  </si>
  <si>
    <t>I wish we could do a lot more community outreaches and education to increase awareness on water quality related issues.</t>
  </si>
  <si>
    <t>It's because I gained a lot of knowledge and technical skills regarding water quality analysis and am sure they will earn the knowledge too.</t>
  </si>
  <si>
    <t>Bachelor of science in water and Irrigation Engineering</t>
  </si>
  <si>
    <t>All of them</t>
  </si>
  <si>
    <t>It was fun</t>
  </si>
  <si>
    <t xml:space="preserve">The lunch was horrible </t>
  </si>
  <si>
    <t xml:space="preserve">No reason </t>
  </si>
  <si>
    <t xml:space="preserve">I already recommended the fellowship to other people so they can apply for the third cohort </t>
  </si>
  <si>
    <t xml:space="preserve">Bwie </t>
  </si>
  <si>
    <t>As of today, have you graduated from the university degree program you attended while part of the fellowship program?</t>
  </si>
  <si>
    <t>What did you do upon graduating from the university degree program? [select all that apply]</t>
  </si>
  <si>
    <t>Are you currently employed?</t>
  </si>
  <si>
    <t>Is your position full time, part time, contract, self employed?</t>
  </si>
  <si>
    <t>What type of industry do you work in?</t>
  </si>
  <si>
    <t>What is your job title? (if you are not currently employed, type in "N/A")</t>
  </si>
  <si>
    <t>Are you currently either attending graduate school or have you been accepted to attend graduate school?</t>
  </si>
  <si>
    <t>Where are you enrolled or accepted to attend graduate school?</t>
  </si>
  <si>
    <t xml:space="preserve">In what degree program or course are you enrolled for graduate school? </t>
  </si>
  <si>
    <t>In your current professional or academic position, have you applied any skills that you developed while you were in the fellowship program?</t>
  </si>
  <si>
    <r>
      <t xml:space="preserve">In your current position, have you applied </t>
    </r>
    <r>
      <rPr>
        <b/>
        <sz val="10"/>
        <color theme="1"/>
        <rFont val="Arial"/>
      </rPr>
      <t>water testing skills</t>
    </r>
    <r>
      <rPr>
        <sz val="10"/>
        <color theme="1"/>
        <rFont val="Arial"/>
      </rPr>
      <t xml:space="preserve"> you developed during the fellowship? (including sampling and on-site testing)</t>
    </r>
  </si>
  <si>
    <t xml:space="preserve">How often have you applied this skill in your current position? </t>
  </si>
  <si>
    <r>
      <t xml:space="preserve">In your current position, have you applied </t>
    </r>
    <r>
      <rPr>
        <b/>
        <sz val="10"/>
        <color theme="1"/>
        <rFont val="Arial"/>
      </rPr>
      <t>laboratory testing skills</t>
    </r>
    <r>
      <rPr>
        <sz val="10"/>
        <color theme="1"/>
        <rFont val="Arial"/>
      </rPr>
      <t xml:space="preserve"> you developed during the fellowship?</t>
    </r>
  </si>
  <si>
    <r>
      <t xml:space="preserve">In your current position, have you applied </t>
    </r>
    <r>
      <rPr>
        <b/>
        <sz val="10"/>
        <color theme="1"/>
        <rFont val="Arial"/>
      </rPr>
      <t>data analysis skills</t>
    </r>
    <r>
      <rPr>
        <sz val="10"/>
        <color theme="1"/>
        <rFont val="Arial"/>
      </rPr>
      <t xml:space="preserve"> you developed during the fellowship?</t>
    </r>
  </si>
  <si>
    <r>
      <t xml:space="preserve">In your current position, have you applied </t>
    </r>
    <r>
      <rPr>
        <b/>
        <sz val="10"/>
        <color theme="1"/>
        <rFont val="Arial"/>
      </rPr>
      <t>data visualization skills</t>
    </r>
    <r>
      <rPr>
        <sz val="10"/>
        <color theme="1"/>
        <rFont val="Arial"/>
      </rPr>
      <t xml:space="preserve"> you developed during the fellowship?</t>
    </r>
  </si>
  <si>
    <r>
      <t xml:space="preserve">In your current position, have you applied </t>
    </r>
    <r>
      <rPr>
        <b/>
        <sz val="10"/>
        <color theme="1"/>
        <rFont val="Arial"/>
      </rPr>
      <t>report writing skills</t>
    </r>
    <r>
      <rPr>
        <sz val="10"/>
        <color theme="1"/>
        <rFont val="Arial"/>
      </rPr>
      <t xml:space="preserve"> you developed during the fellowship?</t>
    </r>
  </si>
  <si>
    <r>
      <t xml:space="preserve">In your current position, have you applied skills about </t>
    </r>
    <r>
      <rPr>
        <b/>
        <sz val="10"/>
        <color theme="1"/>
        <rFont val="Arial"/>
      </rPr>
      <t>working with communities</t>
    </r>
    <r>
      <rPr>
        <sz val="10"/>
        <color theme="1"/>
        <rFont val="Arial"/>
      </rPr>
      <t xml:space="preserve"> you developed during the fellowship?</t>
    </r>
  </si>
  <si>
    <r>
      <t xml:space="preserve">In your current position, have you applied skills about </t>
    </r>
    <r>
      <rPr>
        <b/>
        <sz val="10"/>
        <color theme="1"/>
        <rFont val="Arial"/>
      </rPr>
      <t>conducting surveys</t>
    </r>
    <r>
      <rPr>
        <sz val="10"/>
        <color theme="1"/>
        <rFont val="Arial"/>
      </rPr>
      <t xml:space="preserve"> you developed during the fellowship?</t>
    </r>
  </si>
  <si>
    <r>
      <t xml:space="preserve">In your current position, have you applied </t>
    </r>
    <r>
      <rPr>
        <b/>
        <sz val="10"/>
        <color theme="1"/>
        <rFont val="Arial"/>
      </rPr>
      <t>general research skills</t>
    </r>
    <r>
      <rPr>
        <sz val="10"/>
        <color theme="1"/>
        <rFont val="Arial"/>
      </rPr>
      <t xml:space="preserve"> you developed during the fellowship?</t>
    </r>
  </si>
  <si>
    <r>
      <t xml:space="preserve">In your current position, have you applied </t>
    </r>
    <r>
      <rPr>
        <b/>
        <sz val="10"/>
        <color theme="1"/>
        <rFont val="Arial"/>
      </rPr>
      <t>teamwork skills</t>
    </r>
    <r>
      <rPr>
        <sz val="10"/>
        <color theme="1"/>
        <rFont val="Arial"/>
      </rPr>
      <t xml:space="preserve"> you developed during the fellowship?</t>
    </r>
  </si>
  <si>
    <t>Which of the skills do you consider the most valuable in your current role? Please select up to 3 only.</t>
  </si>
  <si>
    <t>One year from now, what do you hope you will be doing professionally?</t>
  </si>
  <si>
    <t>Today, how interested are you in a career in water quality testing, drinking water, or WASH (water, sanitation, and hygiene)?</t>
  </si>
  <si>
    <t>Do you think your experience with this fellowship helped you get where you are now? [select all that apply]</t>
  </si>
  <si>
    <t>What other trainings/topics would have been valuable within the fellowship program to prepare you for your current role?  [If none, enter N/A.]</t>
  </si>
  <si>
    <r>
      <t xml:space="preserve">How do you rate the value of </t>
    </r>
    <r>
      <rPr>
        <b/>
        <sz val="10"/>
        <color theme="1"/>
        <rFont val="Arial"/>
      </rPr>
      <t xml:space="preserve">peer connections </t>
    </r>
    <r>
      <rPr>
        <sz val="10"/>
        <color theme="1"/>
        <rFont val="Arial"/>
      </rPr>
      <t xml:space="preserve">you have made through this program? </t>
    </r>
  </si>
  <si>
    <t>Please briefly explan your reposense to the previous question about peer connections.</t>
  </si>
  <si>
    <r>
      <t xml:space="preserve">How do you rate the value of </t>
    </r>
    <r>
      <rPr>
        <b/>
        <sz val="10"/>
        <color theme="1"/>
        <rFont val="Arial"/>
      </rPr>
      <t>connections you have made with university professors and instuctors</t>
    </r>
    <r>
      <rPr>
        <sz val="10"/>
        <color theme="1"/>
        <rFont val="Arial"/>
      </rPr>
      <t xml:space="preserve"> through this program? </t>
    </r>
  </si>
  <si>
    <t>Please briefly explan your reposense to the previous question about connections with university instructors.</t>
  </si>
  <si>
    <r>
      <t xml:space="preserve">How do you rate the value of </t>
    </r>
    <r>
      <rPr>
        <b/>
        <sz val="10"/>
        <color theme="1"/>
        <rFont val="Arial"/>
      </rPr>
      <t xml:space="preserve">connections with outside experts </t>
    </r>
    <r>
      <rPr>
        <sz val="10"/>
        <color theme="1"/>
        <rFont val="Arial"/>
      </rPr>
      <t xml:space="preserve">you have made through this program? </t>
    </r>
  </si>
  <si>
    <t>Please briefly explan your reposense to the previous question about connections with outside experts.</t>
  </si>
  <si>
    <t>Since completing the program, have you maintained contact or collaborated on any related initiatives with other fellows or mentors from the fellowship program?</t>
  </si>
  <si>
    <t>Indicate if you agree or disagree with this statement: 
The fellowship program added value and was a good use of my time while enrolled in the university.</t>
  </si>
  <si>
    <t>What was the most valuable or memorable part of the program for you?</t>
  </si>
  <si>
    <t>Based on your experience while in the program or since completing it, what advice would you give to the current cohort of water quality testing fellows?</t>
  </si>
  <si>
    <t>What university did you attend?</t>
  </si>
  <si>
    <t>What was your major / course?</t>
  </si>
  <si>
    <t>In what class year did you complete the fellowship program?</t>
  </si>
  <si>
    <t>In what month and year did you complete the Fellowship program?</t>
  </si>
  <si>
    <t>In what month and year did you graduate from the university degree program? (if you did not graduate, type in "N/A")</t>
  </si>
  <si>
    <t>Took time off from work and studies</t>
  </si>
  <si>
    <t>Occasionally</t>
  </si>
  <si>
    <t>Often</t>
  </si>
  <si>
    <t>Testing water, Data analysis, Teamwork</t>
  </si>
  <si>
    <t xml:space="preserve">I will support my societies and africas with this profession </t>
  </si>
  <si>
    <t>Extremely valuable</t>
  </si>
  <si>
    <t>It makes me to make a network with lots of peoples and we call each other until now</t>
  </si>
  <si>
    <t>I call them for any support like recommendation letter and professional career network that was so good</t>
  </si>
  <si>
    <t>Neutral</t>
  </si>
  <si>
    <t>I loved it strongly</t>
  </si>
  <si>
    <t xml:space="preserve">The practical and lab time </t>
  </si>
  <si>
    <t>Keep going! As acountry we gonna have lots of water professionals. May God help you abundantely</t>
  </si>
  <si>
    <t>Water Resources and Irrigation engineering</t>
  </si>
  <si>
    <t>Graduated</t>
  </si>
  <si>
    <t>September</t>
  </si>
  <si>
    <t>Augest</t>
  </si>
  <si>
    <t>Applied to full-time work positions</t>
  </si>
  <si>
    <t>Full time</t>
  </si>
  <si>
    <t>Private industry</t>
  </si>
  <si>
    <t>Sales Engineer</t>
  </si>
  <si>
    <t>Rarely</t>
  </si>
  <si>
    <t>Report writing, Working with communities, Teamwork</t>
  </si>
  <si>
    <t>Starting Solar Water Solutions Componey</t>
  </si>
  <si>
    <t>It made me interested in graduate school or further study, It made me aware of other possible career paths, It gave me knowledge about research methods to help in my current studies, It gave me practical skills that I can use in my current job, It gave me more confidence in my technical skills, It allowed me to network with other students and create new relationships, It gave me a competitive advantage, which increases my job opportunity / employability</t>
  </si>
  <si>
    <t>how to use this course for other deciplines and how to start a buisness using this course.</t>
  </si>
  <si>
    <t>A little valuable</t>
  </si>
  <si>
    <t>i think as the students are selected based on Grade and academic performance i think there is a high chance that the students selected will be in different region of the world holding above avarage Positions</t>
  </si>
  <si>
    <t>it had given me the opportunity to connect with different University Proffessors and Instructors who are vary wiling to advice us for our futrure endever and even giving us the opportunity to connect to different universities</t>
  </si>
  <si>
    <t>as this connections are to peoples that are not directly related to the fild of study and not an instructores they are just a good friends</t>
  </si>
  <si>
    <t>first in some areas it have given me the neccessary knowledge that my five years University course might not have given me , also as it is a vary interactive course i can say with certinity that most of the fellowship participants will remember what we had learned for a vary long time and it is giving me an edge in compitioions for job and also for Scholarships as the fellowship was organized using 3 international and national parties colaboration. lastly  it had given me a graduate student after graduation a time of with a relaxed enviroment to plan for my futrue carrear path with was a big help.</t>
  </si>
  <si>
    <t>the R programming course and the practical part specially sampling part in different parts campus</t>
  </si>
  <si>
    <t>give the students a little break like one or two day break in bettween that make them relax a little more as it might crate a vary stress full situation.</t>
  </si>
  <si>
    <t xml:space="preserve">5th year undergraduate student </t>
  </si>
  <si>
    <t>5th year undergraduate student after Graduation</t>
  </si>
  <si>
    <t>Aug-2024</t>
  </si>
  <si>
    <t>Jul 2024</t>
  </si>
  <si>
    <t>Continued with employment I previously had</t>
  </si>
  <si>
    <t>Government</t>
  </si>
  <si>
    <t>lecturer</t>
  </si>
  <si>
    <t>bahir dar university</t>
  </si>
  <si>
    <t>irrigation engineering and management</t>
  </si>
  <si>
    <t>Laboratory skills, Data analysis, General research skills</t>
  </si>
  <si>
    <t>Employing in irrigation or/and water supply infrastructure design and construction company</t>
  </si>
  <si>
    <t>I don’t think it helped me at all, It made me interested in graduate school or further study, It made me aware of other possible career paths, It gave me practical skills that I can use in my current job, It gave me more confidence in my technical skills, It allowed me to network with other students and create new relationships</t>
  </si>
  <si>
    <t>empolyability skill and job readiness training</t>
  </si>
  <si>
    <t>i prefered peer work or team work to simplify the work</t>
  </si>
  <si>
    <t>more experianced has used for improve different skills</t>
  </si>
  <si>
    <t>it needs for sociability</t>
  </si>
  <si>
    <t>i have gate a remarkable knowldege from this followship</t>
  </si>
  <si>
    <t>R-programming session</t>
  </si>
  <si>
    <t>those should be attend seriously to gate and advance these skills</t>
  </si>
  <si>
    <t>Water resources and irrigation engineering</t>
  </si>
  <si>
    <t>undergraduate 5th year</t>
  </si>
  <si>
    <t>08/2024</t>
  </si>
  <si>
    <t>Applied to full-time work positions, Applied to graduate programs</t>
  </si>
  <si>
    <t>This will depend on the job category that I'm offered.But most WASH professional jobs preferred graduate scholars (Msc). Perhaps I'll be auditing.</t>
  </si>
  <si>
    <t>It made me interested in graduate school or further study, It made me aware of other possible career paths, It gave me knowledge about research methods to help in my current studies, It gave me more confidence in my technical skills, It allowed me to network with other students and create new relationships, It gave me a competitive advantage, which increases my job opportunity / employability</t>
  </si>
  <si>
    <t>They're valuable connections since we are still anticipating to keep in touch by sharing WASH related opportunities. The scope of job space is wide so I can't promise they're extremely valuable.</t>
  </si>
  <si>
    <t xml:space="preserve">They have become my primary referees for any other jobs and scholarships </t>
  </si>
  <si>
    <t>Getting to know them personally means i always have an advantage in their narrow field of opportunity.</t>
  </si>
  <si>
    <t xml:space="preserve">There wasn't any other better internship program in line with public health engineering that was as comprehensive as the fellowship program. </t>
  </si>
  <si>
    <t>The whole idea of research from drafting questionnaires to data collection, analysis, and reporting while leveraging practical skills and social approaches was instrumental.</t>
  </si>
  <si>
    <t>I would advise the current cohort to give the program the attention it deserves, be intentional on making meaningful connections and also be ready to learn, unlearn, and relearn.</t>
  </si>
  <si>
    <t>June, 2024</t>
  </si>
  <si>
    <t>September, 2024</t>
  </si>
  <si>
    <t>Applied to graduate programs</t>
  </si>
  <si>
    <t>Testing water, Laboratory skills, Data analysis, Data visualization, Report writing, Working with communities, Conducting surveys, General research skills, Teamwork</t>
  </si>
  <si>
    <t>Continuing to better my water and wastewater quality testing. This is because of my interest in serving communities through WASH programs.</t>
  </si>
  <si>
    <t>It made me interested in graduate school or further study, It gave me knowledge about research methods to help in my current studies, It gave me more confidence in my technical skills, It allowed me to network with other students and create new relationships, It gave me a competitive advantage, which increases my job opportunity / employability</t>
  </si>
  <si>
    <t>Aspects of implementation of Water Safety Plans, Real world applications of Water Safety Plans</t>
  </si>
  <si>
    <t>I always refer to the peers in case i want help with something. And i always get at least one fellow with an idea on what i am looking for.</t>
  </si>
  <si>
    <t>In the social media groups, they always share opportunities. Additionally, i get called back at times in case of some opportunities.</t>
  </si>
  <si>
    <t>I at times talk to the external people that were brought in to get advice or to just say hi. This allows me to keep connected.</t>
  </si>
  <si>
    <t>It has given me some of the strongest connections.</t>
  </si>
  <si>
    <t>Learning new things that i never had an idea about</t>
  </si>
  <si>
    <t>Use any learning or volunteering opportunities within the fellowship to make the best out of it</t>
  </si>
  <si>
    <t>Bachelor of Science in Civil Engineering</t>
  </si>
  <si>
    <t>August 2024</t>
  </si>
  <si>
    <t>January 2026</t>
  </si>
  <si>
    <t>I am graduating in January 2026</t>
  </si>
  <si>
    <t>Data analysis, General research skills, Teamwork</t>
  </si>
  <si>
    <t xml:space="preserve">I hope I will be employed by a company in the WASH sector or maybe I will have gotten a Master's opportunity </t>
  </si>
  <si>
    <t xml:space="preserve">It gave me knowledge about research methods to help in my current studies, It gave me practical skills that I can use in my current job, It gave me more confidence in my technical skills, It allowed me to network with other students and create new relationships, It gave me a competitive advantage, which increases my job opportunity / employability, The fellowship helped me to connect with the facilitators who I know will be helpful in my professional career. </t>
  </si>
  <si>
    <t xml:space="preserve">Perhaps if the funders could put in place a way of employing some of the alumni fellows </t>
  </si>
  <si>
    <t xml:space="preserve">The peer connections I made with the students and lecturers have been helpful in my academic journey after the fellowship. </t>
  </si>
  <si>
    <t xml:space="preserve">They are very approachable and ready to help everyone who approaches them as long as they were part of the fellowship </t>
  </si>
  <si>
    <t>The Aquaya representative is helpful and approachable to everyone</t>
  </si>
  <si>
    <t xml:space="preserve">I got skills , connections and a certificate from an international company </t>
  </si>
  <si>
    <t>The knowledge acquisition, staying in the hotel and the trip to the source of the Nile</t>
  </si>
  <si>
    <t>They should utilize the available human resource as much as possible and be assured of having a good time</t>
  </si>
  <si>
    <t xml:space="preserve">Civil Engineering/Bachelor of Science in Civil Engineering </t>
  </si>
  <si>
    <t>July 2024</t>
  </si>
  <si>
    <t>N/A - I did not graduate</t>
  </si>
  <si>
    <t>Report writing, General research skills, Teamwork</t>
  </si>
  <si>
    <t xml:space="preserve">Setting up a coffee farm that utilizes irrigation technologies 
While gaining more experience to start up a company </t>
  </si>
  <si>
    <t xml:space="preserve">Smart water quality monitoring </t>
  </si>
  <si>
    <t xml:space="preserve">Staying together and learning colleagues and their ability under different conditions helped build strong bonds that I believe are going to be very productive in the near future When looking for partners in different fields </t>
  </si>
  <si>
    <t>It was really a confidence building experience that helped us look at them as equals in a way or two</t>
  </si>
  <si>
    <t>Job opportunities. Thats all I can say</t>
  </si>
  <si>
    <t xml:space="preserve">I gained skills in water quality and data analytics, gained connections and confidence in my self generally </t>
  </si>
  <si>
    <t xml:space="preserve">Being praised by the district officials and being looked at as an expert was actually heart warming </t>
  </si>
  <si>
    <t>Enjoy every minute of the fellowship. Even in the hard times, the long walks and long days. At the end of the day remember you are much better than when you started your day</t>
  </si>
  <si>
    <t xml:space="preserve">Water and irrigation engineering </t>
  </si>
  <si>
    <t>November, 2024</t>
  </si>
  <si>
    <t>Short-term contract</t>
  </si>
  <si>
    <t xml:space="preserve">Engineering Assistant </t>
  </si>
  <si>
    <t>Data analysis, Data visualization, General research skills</t>
  </si>
  <si>
    <t xml:space="preserve">A practicing Water Resources Engineer </t>
  </si>
  <si>
    <t>It made me interested in graduate school or further study, It made me aware of other possible career paths, It gave me knowledge about research methods to help in my current studies, It allowed me to network with other students and create new relationships</t>
  </si>
  <si>
    <t>I have collaborated with some of my peer connections to accomplish academic projects including my final year research project</t>
  </si>
  <si>
    <t xml:space="preserve">The University Instructors I met at the fellowship have continued to guide both my academic and professional career development </t>
  </si>
  <si>
    <t xml:space="preserve">The outside experts I met during fellowship program have continued to provide proffesional mentorship </t>
  </si>
  <si>
    <t>Through the fellowship, I was able to form connections with my peers, industry professionals and instructors. I also gained valuable skills in water quality testing and analysis.</t>
  </si>
  <si>
    <t>The field water quality sampling and analysis exercise in Mukono District.</t>
  </si>
  <si>
    <t>The fellows should try as much as possible to actively participate in the practical water quality analysis exercises.</t>
  </si>
  <si>
    <t>October 2024</t>
  </si>
  <si>
    <t>Data analysis, Report writing, General research skills</t>
  </si>
  <si>
    <t xml:space="preserve">Professionally I want to join Graduate School and Master the Depth of Water Quality </t>
  </si>
  <si>
    <t xml:space="preserve">We have gained networking though peer connections </t>
  </si>
  <si>
    <t xml:space="preserve">They have Giuded in my Academics and other Fields </t>
  </si>
  <si>
    <t xml:space="preserve">Interested my technical network </t>
  </si>
  <si>
    <t xml:space="preserve">It was very Educative and interesting </t>
  </si>
  <si>
    <t xml:space="preserve">Data analysis and Laboratory testing </t>
  </si>
  <si>
    <t xml:space="preserve">Everything you told Matters and can be your stepping stone to change lives </t>
  </si>
  <si>
    <t>September 2024</t>
  </si>
  <si>
    <t>Data analysis, Report writing, Conducting surveys, General research skills, Teamwork</t>
  </si>
  <si>
    <t>I hope to be working in the WASH sector of Uganda.</t>
  </si>
  <si>
    <t>It made me aware of other possible career paths, It gave me knowledge about research methods to help in my current studies, It gave me practical skills that I can use in my current job, It gave me more confidence in my technical skills, It allowed me to network with other students and create new relationships, It gave me a competitive advantage, which increases my job opportunity / employability</t>
  </si>
  <si>
    <t>The Webinars helped broader my perception of research when it comes to WASH.</t>
  </si>
  <si>
    <t>Peer connections widen our scope towards problem solving. It increases the base of resources, and it enables a modular framework doing tasks.</t>
  </si>
  <si>
    <t>The program has brought us, the fellows much closer to our professors who have been invaluable in our thesis development and other aspects of school and hopefully work as well.</t>
  </si>
  <si>
    <t>Magnified the perception of WASH interventions, research and technologies.</t>
  </si>
  <si>
    <t>Despite the certification, a lot of the aspects of this fellowship molded me as a student as well as to be more aggressive when it comes to pursuing my career.</t>
  </si>
  <si>
    <t>To me the most valuable part of the program was the hospitality by the facilitators to ensure wonderful environment giving us the fellows and environment in which we can yield the best work.</t>
  </si>
  <si>
    <t>I would advise the current cohort to make use of all the platforms, materials, knowledge and skills obtained from this program. This can really uplift each one of them to attain rigorous careers in the WASH sector.</t>
  </si>
  <si>
    <t xml:space="preserve">BSc. Agricultural Engineering </t>
  </si>
  <si>
    <t>Data analysis, Data visualization, Report writing, Working with communities, General research skills, Teamwork</t>
  </si>
  <si>
    <t>I hope to be working as a design Engineer dealing mainly in water resources Assessments and Irrigation systems.</t>
  </si>
  <si>
    <t>They have made me have a family away from home. They have encouraged me and helped me improve academically.</t>
  </si>
  <si>
    <t>Through the connection I made with them, they have availed  to me opportunities to gain experience in various working sectors. They have also been my mentors in this academic journey I am still pursuing.</t>
  </si>
  <si>
    <t>I have actually never got in touch with them again.</t>
  </si>
  <si>
    <t>It's a strong reason as to why my performance increased academically. The tutors have pushed us to always be on top of our game.</t>
  </si>
  <si>
    <t>The outreaches we made to the communities made me realize how big the gap is in terms of the water quality the local people use, it's really bad! I can't forget that and it made me realize how big a part I need to play in this as a water quality expert in terms of raising awareness and putting in actions.</t>
  </si>
  <si>
    <t xml:space="preserve">I would advise them to actively participate in all the activities of the fellowship because they would be of grate value to them currently and in the future. </t>
  </si>
  <si>
    <t xml:space="preserve">BSc. Water and irrigation Engineering </t>
  </si>
  <si>
    <t>N/A - I did not graduate, Still studying</t>
  </si>
  <si>
    <t>Laboratory skills, Report writing, Working with communities, Conducting surveys, General research skills, Teamwork</t>
  </si>
  <si>
    <t xml:space="preserve">I hope to be working as a graduate train in a biopharmaceutical industry, developing strong skills as a bioprocessing engineer that are essential for product development, manufacturing and modification. I'll be excited to apply the knowledge and some essential skills I've acquired to make a meaningful impact in my field. </t>
  </si>
  <si>
    <t>Perharps Considering More time for some training like on jar test to determine chlorine dosage</t>
  </si>
  <si>
    <t xml:space="preserve">Peer connection has helped me seek and obtain guidance on relevant information essential for me academic achievement at campus, for example guidance on how to make project proposals, information on internship, insights on various career paths in my course, effective strategies to study and prepare for examinations, among others. </t>
  </si>
  <si>
    <t>It has eased my academic life</t>
  </si>
  <si>
    <t>Incase of any help, its always easy to reach out to them</t>
  </si>
  <si>
    <t>Through the fellowship program, I gained a variety of skill set via practical program implementation and knowledge via the theoretical modules</t>
  </si>
  <si>
    <t>Every part of the program really counted on my side, found every part very crucial and interesting</t>
  </si>
  <si>
    <t xml:space="preserve">To be actively involved in the program, and take note of every detail of it. </t>
  </si>
  <si>
    <t>Bachelor of science in bioprocessing engineering</t>
  </si>
  <si>
    <t>July, 2024</t>
  </si>
  <si>
    <t xml:space="preserve">l have just completed the four years of the course but l had yet graduated so l am applying to various places and also volunteering </t>
  </si>
  <si>
    <t>Testing water, Laboratory skills, Report writing, Working with communities, General research skills, Teamwork</t>
  </si>
  <si>
    <t>A Water quality professional expert/analyst</t>
  </si>
  <si>
    <t>data analysis</t>
  </si>
  <si>
    <t>it has created strong mutual connections and relationships between my lecturers ,friends,lab instructions and me that l was working with during my final year project.</t>
  </si>
  <si>
    <t>it has created strong mutual connections and relationships between my lecturers and lab instructions and me that l was working with during my final year project</t>
  </si>
  <si>
    <t xml:space="preserve">it has created strong mutual connections and relationships </t>
  </si>
  <si>
    <t>it is because l was able to get a final year project and apply the skills that l acquired during the fellowship to do my own project.</t>
  </si>
  <si>
    <t>field work and lab analysis</t>
  </si>
  <si>
    <t>pay more attention and grasp all the skills from the training, as they are so important since l was able to use them in my final year project titled Tilapia Fish Scales as an adsorbent for E.coli Removal in Drinking Water.</t>
  </si>
  <si>
    <t xml:space="preserve">Water and Irrigation Engineering </t>
  </si>
  <si>
    <t>August,2024</t>
  </si>
  <si>
    <t>20th September,2024</t>
  </si>
  <si>
    <t>23 years of age</t>
  </si>
  <si>
    <t>Data analysis, Data visualization, Report writing, Teamwork</t>
  </si>
  <si>
    <t xml:space="preserve">I hope to be employed in an engineering and construction firm as a graduate engineer </t>
  </si>
  <si>
    <t>It made me aware of other possible career paths, It gave me knowledge about research methods to help in my current studies, It gave me more confidence in my technical skills, It allowed me to network with other students and create new relationships</t>
  </si>
  <si>
    <t>My peer connections have enabled me gain opportunities and opened doors for me a better person. Ive also learnt alot from these peers.</t>
  </si>
  <si>
    <t>The university professors have inspired me to continue working hard</t>
  </si>
  <si>
    <t xml:space="preserve">Outside experts helped me get a better understanding of the course content </t>
  </si>
  <si>
    <t xml:space="preserve">The program gave me many skills that I wouldn't have gotten if it was not for that program </t>
  </si>
  <si>
    <t>Field work in mukono</t>
  </si>
  <si>
    <t xml:space="preserve">They should try to make friendships with their peers, take on leadership roles, get interested in volunteering, and learn as much as possible </t>
  </si>
  <si>
    <t>May 2025</t>
  </si>
  <si>
    <t>Designing for irrigation sites</t>
  </si>
  <si>
    <t>It made me aware of other possible career paths, It gave me knowledge about research methods to help in my current studies, It allowed me to network with other students and create new relationships, It gave me a competitive advantage, which increases my job opportunity / employability</t>
  </si>
  <si>
    <t>i got closer to collegues who have helped me out with my final year project all thanks to the fellowship.</t>
  </si>
  <si>
    <t>i can now freely communicate with them</t>
  </si>
  <si>
    <t xml:space="preserve">after the fellowship, i happenned to be in the lab of  NWSC Masindi where i got more connections. </t>
  </si>
  <si>
    <t>I obtained an extra skill</t>
  </si>
  <si>
    <t>lab time especially time of reading results, making sure the blank has come out blank</t>
  </si>
  <si>
    <t>they should value both the theory and lab work because they can use then outside</t>
  </si>
  <si>
    <t>Agricultural Engineering</t>
  </si>
  <si>
    <t>September, 2025</t>
  </si>
  <si>
    <t>Haven't graduated yet</t>
  </si>
  <si>
    <t xml:space="preserve">I hope to be a quality analyst who is equipped with all the necessary skills and knowledge and other colleagues can rely on me for data accuracy and reliability </t>
  </si>
  <si>
    <t>It made me aware of other possible career paths</t>
  </si>
  <si>
    <t xml:space="preserve">I got to work with and interact with colleagues from other courses which improved my communication skills </t>
  </si>
  <si>
    <t xml:space="preserve">The guidance from our professors and instructors helped me a lot in my academic journey </t>
  </si>
  <si>
    <t xml:space="preserve">This exposed me to different professionals who showed us how the real world works </t>
  </si>
  <si>
    <t xml:space="preserve">I learnt a lot from the fellowship </t>
  </si>
  <si>
    <t xml:space="preserve">Field work with colleagues </t>
  </si>
  <si>
    <t>They should be on top of their game</t>
  </si>
  <si>
    <t xml:space="preserve">August </t>
  </si>
  <si>
    <t>Healthcare Payment posting specialist</t>
  </si>
  <si>
    <t>I hopeI will have settled on a good job and I will have mastered most of the skills required, as long as i will be adding impact to society and improving lives</t>
  </si>
  <si>
    <t>The Fellowship really covered them all</t>
  </si>
  <si>
    <t>Welll, they have really been cooperative since then in all ways</t>
  </si>
  <si>
    <t>They are like family to me now, I feel safe all round</t>
  </si>
  <si>
    <t>I am now able to reach out to them for advice and any other issue where need be</t>
  </si>
  <si>
    <t xml:space="preserve">It really added me in all aspects including academia, profession and network </t>
  </si>
  <si>
    <t xml:space="preserve">The certificate giving ceremony where even the VC attended </t>
  </si>
  <si>
    <t>They should keep positive, be able to unlearn, relearn and cope up</t>
  </si>
  <si>
    <t>Testing water, Laboratory skills, Data analysis, Report writing</t>
  </si>
  <si>
    <t xml:space="preserve">I hope to work in the WASH sector to ensure access to clean and safe drinking water through water quality testing and water quality testing for irrigation systems. </t>
  </si>
  <si>
    <t>It made me aware of other possible career paths, It gave me knowledge about research methods to help in my current studies, It gave me more confidence in my technical skills</t>
  </si>
  <si>
    <t>Data analysis should be taught to detail</t>
  </si>
  <si>
    <t xml:space="preserve">The connections helped me open up to my peers and discover my capabilities. </t>
  </si>
  <si>
    <t xml:space="preserve">They give me a better chance of getting opportunities to more projects and jobs in my career </t>
  </si>
  <si>
    <t xml:space="preserve">They helped me discover more career paths </t>
  </si>
  <si>
    <t>I stood out as a unique student among my peers since I gained more critical thinking and analysis skills</t>
  </si>
  <si>
    <t>The leadership responsibilities i was able ro execute very well.</t>
  </si>
  <si>
    <t>They should pay key attention to every activity they do in the program.</t>
  </si>
  <si>
    <t>October,2024</t>
  </si>
  <si>
    <t>I hope to be pushing my fourth-year project to become adopted nationwide. while also growing my reputation and skills as an engineer working woth different professionals.</t>
  </si>
  <si>
    <t>Topics on career guidance and smart technologies in water quality.</t>
  </si>
  <si>
    <t>It gave me a network of fellows to reach out incase of a challenge but it's not a network that can push me so far career wise</t>
  </si>
  <si>
    <t>It enabled me to move into spaces where to some extent i interact with the instructors as colleagues and this helped me alot</t>
  </si>
  <si>
    <t>Not applicable - I made no connections</t>
  </si>
  <si>
    <t xml:space="preserve">I gained alot of vauable skills and boosted relations with my lecturers
</t>
  </si>
  <si>
    <t>the field work</t>
  </si>
  <si>
    <t>give the fellowship thier best and learn as much as possible</t>
  </si>
  <si>
    <t>Bsc. Water and Irrigation Engineering</t>
  </si>
  <si>
    <t xml:space="preserve">I hope to be actively involved in projects that focus on sustainable Agricultural practices and innovation technologies </t>
  </si>
  <si>
    <t>It made me aware of other possible career paths, It gave me knowledge about research methods to help in my current studies, It gave me more confidence in my technical skills, It allowed me to network with other students and create new relationships, It gave me a competitive advantage, which increases my job opportunity / employability</t>
  </si>
  <si>
    <t xml:space="preserve">It made me connect with different people I didn't know before who have really impacted a lot in my life since then and also helped bond stronger with the ones I knew before </t>
  </si>
  <si>
    <t>Before this program, there was a big gap between me and the university instructors but per now I can easily approach them Incase of any assistance I need</t>
  </si>
  <si>
    <t>This program enabled me interact with outside experts who are in higher positions which really inspired me to also aim for the best</t>
  </si>
  <si>
    <t xml:space="preserve">It enabled me explore new things in the water quality sector </t>
  </si>
  <si>
    <t xml:space="preserve">The field trips that we had were so interesting because they helped us interact with different people in the communities and you get to know their issues </t>
  </si>
  <si>
    <t>To really put in their whole in whatever they lay hands on because once that is done they won't remain the same</t>
  </si>
  <si>
    <t>Applied to full-time work positions, Applied to graduate programs, Started a business</t>
  </si>
  <si>
    <t xml:space="preserve">Working full time and probably on a masters if granted an opportunity </t>
  </si>
  <si>
    <t>It made me aware of other possible career paths, It gave me more confidence in my technical skills, It allowed me to network with other students and create new relationships</t>
  </si>
  <si>
    <t>Data analysis should be given more time to understand and explain it</t>
  </si>
  <si>
    <t>Am not good at making new friends but the program made it possible for me to connect with new peers from different courses</t>
  </si>
  <si>
    <t xml:space="preserve">I now have professional people to go to for career advice, mentoring and guidance </t>
  </si>
  <si>
    <t>Enabled me to learn technical skills</t>
  </si>
  <si>
    <t xml:space="preserve">I have an added advantage when I apply in that fields </t>
  </si>
  <si>
    <t xml:space="preserve">Labaratory sessions </t>
  </si>
  <si>
    <t>TO ensure that they give in time and attention to learn data analysis because it is a little bit complicated but then very understandable because it applies in every research related field</t>
  </si>
  <si>
    <t xml:space="preserve">Bioprocessing Engineering </t>
  </si>
  <si>
    <t>June 2024</t>
  </si>
  <si>
    <t>Working with communities, General research skills, Teamwork</t>
  </si>
  <si>
    <t xml:space="preserve">Working with water quality testing organisations because I am really passionate about water quality </t>
  </si>
  <si>
    <t>I made friends from different course ls and we were able to work, learn from each other and have fun together as well. This bond that was created can help us connect each other to the various jobs.</t>
  </si>
  <si>
    <t>I got to interact with the lecturers which I had never done before and they got to know my capabilities and weaknesses and they helped me to improve my weak areas</t>
  </si>
  <si>
    <t xml:space="preserve">From the various webinars that were conducted I learnt a lot </t>
  </si>
  <si>
    <t>I reached learnt a lot that I didn’t know before. I attained practical skills, laboratory skills and many more skills related to WASH.</t>
  </si>
  <si>
    <t>There were quite a lot of valuable things in the program and memories as well but besides the academic and technical part of the program, I loved the fact that I traveled on water</t>
  </si>
  <si>
    <t>I would advise them to do everything with passion and to the best of their abilities because the sky is the limit.</t>
  </si>
  <si>
    <t xml:space="preserve">Bachelor of Science in Water and Irrigation Engineering </t>
  </si>
  <si>
    <t>Applied to graduate programs, Did volunteer work (National service or other), Participated in innovation competitions</t>
  </si>
  <si>
    <t>Data analysis, Data visualization, Report writing</t>
  </si>
  <si>
    <t>Smart irrigation integrated with IoT specialist</t>
  </si>
  <si>
    <t>Data Analysis with R software</t>
  </si>
  <si>
    <t>I have now civil engineers in my circle of friends.</t>
  </si>
  <si>
    <t>Well my lecturer have me an opportunity to participate at the innovations competition that will be taking place on 29th May, 2025 at UMA showgrounds</t>
  </si>
  <si>
    <t>Met friends from various disciplines which is extremely helping me</t>
  </si>
  <si>
    <t>My connections with various fellows increased</t>
  </si>
  <si>
    <t>The boat cruise to Samuka island</t>
  </si>
  <si>
    <t xml:space="preserve">Take these activities serious because they can take you places considering the fact that these services are rare in the country </t>
  </si>
  <si>
    <t>Bachelor of Science in Water and Irrigation Engineering</t>
  </si>
  <si>
    <t>August, 2024</t>
  </si>
  <si>
    <t xml:space="preserve">Makerere University </t>
  </si>
  <si>
    <t xml:space="preserve">A lot but most off the degree </t>
  </si>
  <si>
    <t>Created more career based friends</t>
  </si>
  <si>
    <t>I have come to know more Professors</t>
  </si>
  <si>
    <t>Got to know some</t>
  </si>
  <si>
    <t>I gained new skills</t>
  </si>
  <si>
    <t>The water quality testing in Mukono</t>
  </si>
  <si>
    <t>To focus and get the best out of it</t>
  </si>
  <si>
    <t>BWIE</t>
  </si>
  <si>
    <t>August</t>
  </si>
  <si>
    <t>I have not yet graduated officially but I am done with the years</t>
  </si>
  <si>
    <t xml:space="preserve">Water analyst </t>
  </si>
  <si>
    <t>It made me aware of other possible career paths, It gave me knowledge about research methods to help in my current studies, It allowed me to network with other students and create new relationships</t>
  </si>
  <si>
    <t xml:space="preserve">It choose neutral because at the moment they are just "hi" friends especially those I just made in  the fellowship </t>
  </si>
  <si>
    <t xml:space="preserve">It made me significant to the instructors and also made accessing them easier </t>
  </si>
  <si>
    <t>I did make connections further than the people I was with</t>
  </si>
  <si>
    <t xml:space="preserve">I got added knowledge in the water quality field 
I got experience of water quality laboratories </t>
  </si>
  <si>
    <t xml:space="preserve">Practical skills of water quality testing </t>
  </si>
  <si>
    <t>To do everything with a learning heart</t>
  </si>
  <si>
    <t>July</t>
  </si>
  <si>
    <t>QA/QC officer</t>
  </si>
  <si>
    <t>Testing water, Laboratory skills, Teamwork</t>
  </si>
  <si>
    <t>Certified Chemical Engineer</t>
  </si>
  <si>
    <t>It gave me practical skills that I can use in my current job, It gave me more confidence in my technical skills, It allowed me to network with other students and create new relationships, It gave me a competitive advantage, which increases my job opportunity / employability</t>
  </si>
  <si>
    <t>Practical use(ion detection) of ICP-MS, AAS and hromatography</t>
  </si>
  <si>
    <t>One of my peer(fellow) referred me to the water treatment Lab technician role</t>
  </si>
  <si>
    <t xml:space="preserve">All instructors were experts at what they were doing(made all modules look simple), very friendly and through one of these instructors, I worked with Aquaya Institute(WaterTRACS) in Lira district </t>
  </si>
  <si>
    <t>Through webinars, was exposed to different water quality professionals and learnt alot from them</t>
  </si>
  <si>
    <t xml:space="preserve">Upgraded my lab technician skills, data analysis </t>
  </si>
  <si>
    <t>Good facilitation(meals, accomodation and user friendly modules)</t>
  </si>
  <si>
    <t>Love what is done during the fellowship</t>
  </si>
  <si>
    <t xml:space="preserve">Bachelor of science in Industrial Chemistry </t>
  </si>
  <si>
    <t>Jan, 2025</t>
  </si>
  <si>
    <t xml:space="preserve">Working with National water and sewerage cooperation </t>
  </si>
  <si>
    <t>It made me interested in graduate school or further study, It gave me knowledge about research methods to help in my current studies, It gave me practical skills that I can use in my current job, It gave me more confidence in my technical skills, It allowed me to network with other students and create new relationships, It gave me a competitive advantage, which increases my job opportunity / employability</t>
  </si>
  <si>
    <t xml:space="preserve">They are like family to me </t>
  </si>
  <si>
    <t xml:space="preserve">They offer guidance, recommendations and opportunities </t>
  </si>
  <si>
    <t xml:space="preserve">Application of acquired skills in my internship </t>
  </si>
  <si>
    <t>Analytical methods</t>
  </si>
  <si>
    <t xml:space="preserve">Let them maximize their efforts in the. Program because it can take them to heights </t>
  </si>
  <si>
    <t xml:space="preserve">Bachelor of science in water and Irrigation Engineering </t>
  </si>
  <si>
    <t>Waiting graduation</t>
  </si>
  <si>
    <t>Hopefully, Engineering</t>
  </si>
  <si>
    <t>It's literally not good, not bad</t>
  </si>
  <si>
    <t>They have been so helpful</t>
  </si>
  <si>
    <t>They kept helping professionally</t>
  </si>
  <si>
    <t>It opened my mind to the possible careers, I could take on</t>
  </si>
  <si>
    <t>Field data collection</t>
  </si>
  <si>
    <t>To really put to heart, what they are doing now</t>
  </si>
  <si>
    <t>In  June 2024</t>
  </si>
  <si>
    <t>I hope to be progressing in a career related to Water Quality and Data analysis.</t>
  </si>
  <si>
    <t>This is because I know in the field there are viable options that can be trusted.</t>
  </si>
  <si>
    <t>They have helped me in progressing and encouraged and inspired me in the field and have proven to be available for consultation.</t>
  </si>
  <si>
    <t>They have helped make aware possibilities and futures in the water quality sector.</t>
  </si>
  <si>
    <t>Because I left the fellowship with knowledge I did not have before and would require a heavy price to acquire it the way I did in the future.</t>
  </si>
  <si>
    <t>Data analysis and collection of samples from the community.</t>
  </si>
  <si>
    <t>I would advise to take seriously every session in the fellowship for in the field each of the skills acquired counts.</t>
  </si>
  <si>
    <t>BSc. Water and Irrigation Engineering</t>
  </si>
  <si>
    <t>Testing water, Working with communities, General research skills</t>
  </si>
  <si>
    <t>Working with an NGO, for water sanitation and hygiene</t>
  </si>
  <si>
    <t>It gave me knowledge about research methods to help in my current studies, It gave me practical skills that I can use in my current job, It gave me more confidence in my technical skills, It allowed me to network with other students and create new relationships, It gave me a competitive advantage, which increases my job opportunity / employability</t>
  </si>
  <si>
    <t>I have worked with  colleagues from numerous professions like civil engineering, agricultural engineering</t>
  </si>
  <si>
    <t>I hope to continue working with them in the WASH sector</t>
  </si>
  <si>
    <t xml:space="preserve">We have been connected to various experts in WASH both remotely via zoom and physically. </t>
  </si>
  <si>
    <t xml:space="preserve">I learnt just how near, water related issues are to me. </t>
  </si>
  <si>
    <t xml:space="preserve">Community engagement </t>
  </si>
  <si>
    <t>Theyy should be resilient and take up all they are learning as if it were there current job</t>
  </si>
  <si>
    <t xml:space="preserve">Water and Irrigation engineering </t>
  </si>
  <si>
    <t>I'm going to graduate this year, so I'm doing my final year project about a household biosand filter.</t>
  </si>
  <si>
    <t>It made me interested in graduate school or further study, It made me aware of other possible career paths, It gave me knowledge about research methods to help in my current studies, It gave me practical skills that I can use in my current job, It gave me more confidence in my technical skills, It allowed me to network with other students and create new relationships</t>
  </si>
  <si>
    <t>during the fellowship program i was a 4th year student many of the fellows were graduate student so they share information about the next year academic courses and gave me advice what i have to do.</t>
  </si>
  <si>
    <t>the instructor's of this was very friendly and kind during the fellowship and after the fellowship we see each other as a family after the fellowship program and helped me a lot in my final year project.</t>
  </si>
  <si>
    <t>no</t>
  </si>
  <si>
    <t>In normal class we learn many things that don't have a target focus, are less practical, and are mark-based; however, the fellowship is not mark-based, is concentrated on one target, and has a practical skills section.</t>
  </si>
  <si>
    <t>Practical skill, connection with professors and instructors mainly Mr. Eshetu and Mr. Mesenbet and with other fellow</t>
  </si>
  <si>
    <t>Continue the fellowship in any condition; it opens the minds of students to see how people are affected by the drinking water quality. To a fellowship coordinators if you can facilitate the for the fellows getting a job.</t>
  </si>
  <si>
    <t>from august 10 to September 10</t>
  </si>
  <si>
    <t>Laboratory skills, Report writing, Teamwork</t>
  </si>
  <si>
    <t xml:space="preserve">Working in a laboratory </t>
  </si>
  <si>
    <t>It made me aware of other possible career paths, It gave me practical skills that I can use in my current job, It allowed me to network with other students and create new relationships, It gave me a competitive advantage, which increases my job opportunity / employability</t>
  </si>
  <si>
    <t xml:space="preserve">I have been able to know people from civil, industrial chemistry </t>
  </si>
  <si>
    <t xml:space="preserve">I am more free with my lecturers </t>
  </si>
  <si>
    <t xml:space="preserve">I can easily identify with the Aquaya Hilton Water Quality Testing team </t>
  </si>
  <si>
    <t xml:space="preserve">Added on my skills </t>
  </si>
  <si>
    <t xml:space="preserve">Going into the field </t>
  </si>
  <si>
    <t xml:space="preserve">Give in their best </t>
  </si>
  <si>
    <t xml:space="preserve">Water quality analyst </t>
  </si>
  <si>
    <t>We were fellows from different engineering faculties that increase the network level</t>
  </si>
  <si>
    <t>The recommendations and also the productive interactions</t>
  </si>
  <si>
    <t>They aid in giving the broad view on the outside job market in regard to the sector</t>
  </si>
  <si>
    <t>It gave me a better view of what I would love to specialize in for my further studies and career path</t>
  </si>
  <si>
    <t xml:space="preserve">The team work in everything from the lectures to the field </t>
  </si>
  <si>
    <t xml:space="preserve">To take the skills and knowledge attained more seriously and also value the connections attained from the fellows and the facilitators </t>
  </si>
  <si>
    <t>September,2024</t>
  </si>
  <si>
    <t xml:space="preserve">Something that am passionate about and is sustainable </t>
  </si>
  <si>
    <t xml:space="preserve">Hopefully they will be extremely valuable in the near future </t>
  </si>
  <si>
    <t>They inspire me alot</t>
  </si>
  <si>
    <t>Lost contact with most of them</t>
  </si>
  <si>
    <t xml:space="preserve">I obtained a lot of practical experience </t>
  </si>
  <si>
    <t>When together with my group mates we managed to visit all our water points even I hadn't eaten in two days because I was going through depression. It was empowering, I felt like I could take on the world.</t>
  </si>
  <si>
    <t>Enjoy the fellowship while it lasts and retain as much as you can.</t>
  </si>
  <si>
    <t>BDU</t>
  </si>
  <si>
    <t>Idk</t>
  </si>
  <si>
    <t>It gave me a competitive advantage, which increases my job opportunity / employability</t>
  </si>
  <si>
    <t>..</t>
  </si>
  <si>
    <t xml:space="preserve">I got alot of knowledge from this topic
</t>
  </si>
  <si>
    <t>This training sessions specifically Mr Eshetu part</t>
  </si>
  <si>
    <t>5th yr</t>
  </si>
  <si>
    <t xml:space="preserve">Forgot </t>
  </si>
  <si>
    <t xml:space="preserve">civil engineering </t>
  </si>
  <si>
    <t>I hope do on water structure designing and building</t>
  </si>
  <si>
    <t>It allowed me to network with other students and create new relationships</t>
  </si>
  <si>
    <t>an insight of designing and building of drinking water streamlines</t>
  </si>
  <si>
    <t>we were doing all the tasks in the training together and that gives me a connection to other students and it helped me to asses any opportunities around this area</t>
  </si>
  <si>
    <t>I could get what i want from them if I needed it</t>
  </si>
  <si>
    <t>I don't made a bigger connection</t>
  </si>
  <si>
    <t>It's value that I got from the fellowship was cool</t>
  </si>
  <si>
    <t>Data analysis and laboratory and field tests</t>
  </si>
  <si>
    <t>I recommend to widen and give attention to the laboratory and field tests and on data analysis parts. since it's useful even outside this area</t>
  </si>
  <si>
    <t>September 24, 2024</t>
  </si>
  <si>
    <t xml:space="preserve">Structural data collecter </t>
  </si>
  <si>
    <t xml:space="preserve">I will be site engineer </t>
  </si>
  <si>
    <t>The connection between our peers is vary good and i have gained the communication skill</t>
  </si>
  <si>
    <t>They help me to know so many things and i admire that</t>
  </si>
  <si>
    <t>I have gained a lot of knowledge from them</t>
  </si>
  <si>
    <t xml:space="preserve">Because I had a good time </t>
  </si>
  <si>
    <t>The fild work</t>
  </si>
  <si>
    <t>If you focus more on the fild work and practical part</t>
  </si>
  <si>
    <t xml:space="preserve">DuringBsc degree graduation </t>
  </si>
  <si>
    <t xml:space="preserve">After Bsc degree graduation </t>
  </si>
  <si>
    <t>AUGUST 2024</t>
  </si>
  <si>
    <t>Applied to full-time work positions, Applied to graduate programs, Continued with employment I previously had, Did volunteer work (National service or other), Started a business, Took time off from work and studies</t>
  </si>
  <si>
    <t xml:space="preserve">I am hopeful. Although there is currently no substantial work being done on water quality testing on the ground in our country, we are still engaged and working in other professions.
</t>
  </si>
  <si>
    <t>While the trainings we received were valuable, it would have been beneficial to also have additional hands-on and practical trainings that could be directly applied within communities or on the ground</t>
  </si>
  <si>
    <t>It has created a good and strong network among us, and additionally, it has strengthened our ability to collaborate and work together.</t>
  </si>
  <si>
    <t>Through this program, we were able to connect well with our university instructors, and even after graduation, it has helped maintain a good relationship.</t>
  </si>
  <si>
    <t>It is very well our university instructors after fellowship program</t>
  </si>
  <si>
    <t>Yes, it was appropriate—they taught us what we needed to know as water quality trainees</t>
  </si>
  <si>
    <t>The most memorable part of this fellowship program was the field water quality testing and household surveys.</t>
  </si>
  <si>
    <t xml:space="preserve">It is a good program, and we have recognized its relevance and value for continued, practical work. Its impact on the community—especially in relation to water quality and public health—is significant. Programs like this should be continued and expanded to reach more areas.
</t>
  </si>
  <si>
    <t>Hydraulic and water engineering</t>
  </si>
  <si>
    <t>Building electrical installation</t>
  </si>
  <si>
    <t>I was hoped at full level</t>
  </si>
  <si>
    <t>It gave me more confidence in my technical skills, It gave me a competitive advantage, which increases my job opportunity / employability</t>
  </si>
  <si>
    <t>I gather a lot of knowledge from peer fellowship student</t>
  </si>
  <si>
    <t>I was get the opportunity  to connect with D.r tilik and D.r meseret</t>
  </si>
  <si>
    <t>I don't get outside expert</t>
  </si>
  <si>
    <t xml:space="preserve">It has a lot of lesson that has big knowledge, team work, presentation etc </t>
  </si>
  <si>
    <t>Taking the card and answer the questions in order it was memorable</t>
  </si>
  <si>
    <t>Take it seriously the fellow it is very important</t>
  </si>
  <si>
    <t xml:space="preserve">Water resource </t>
  </si>
  <si>
    <t>After graduation</t>
  </si>
  <si>
    <t>2024_august I think</t>
  </si>
  <si>
    <t>Part time</t>
  </si>
  <si>
    <t>daily labour</t>
  </si>
  <si>
    <t>Data visualization, Working with communities, Teamwork</t>
  </si>
  <si>
    <t>I will be study on water quality for my master science</t>
  </si>
  <si>
    <t>Know how to clear my idea to others</t>
  </si>
  <si>
    <t xml:space="preserve">The connection is end after the fellowship </t>
  </si>
  <si>
    <t>There is no connection outside expert</t>
  </si>
  <si>
    <t xml:space="preserve">I know more knowledge about water quality test </t>
  </si>
  <si>
    <t>Testing is the best not judge by our  eye</t>
  </si>
  <si>
    <t xml:space="preserve">It is already good  </t>
  </si>
  <si>
    <t>August ,2024</t>
  </si>
  <si>
    <t>Not sure</t>
  </si>
  <si>
    <t>Testing water, Laboratory skills, Working with communities, Conducting surveys</t>
  </si>
  <si>
    <t xml:space="preserve">Try to apply What i have got from fellowship to the community </t>
  </si>
  <si>
    <t>It gave me practical skills that I can use in my current job, It allowed me to network with other students and create new relationships, It gave me a competitive advantage, which increases my job opportunity / employability</t>
  </si>
  <si>
    <t xml:space="preserve">It was actually good </t>
  </si>
  <si>
    <t>They were to kind for us that make us feel comfort with them</t>
  </si>
  <si>
    <t xml:space="preserve">I am sorry to say this but i have no connection </t>
  </si>
  <si>
    <t>Because it give additional skill to me</t>
  </si>
  <si>
    <t>Conducting field work</t>
  </si>
  <si>
    <t xml:space="preserve">Just They should have to take the fellowship attentively and try to make connection with outside professional </t>
  </si>
  <si>
    <t xml:space="preserve">Civil </t>
  </si>
  <si>
    <t>Graduating class</t>
  </si>
  <si>
    <t xml:space="preserve">Junior office engineer </t>
  </si>
  <si>
    <t xml:space="preserve">I hope I will be  working on wash project </t>
  </si>
  <si>
    <t>It made me interested in graduate school or further study, It made me aware of other possible career paths, It allowed me to network with other students and create new relationships</t>
  </si>
  <si>
    <t xml:space="preserve"> I have met good friends there </t>
  </si>
  <si>
    <t xml:space="preserve"> I have got good mentor and connection during the fellowship program but it stops there ,I prefer this connection and mentorship will continue </t>
  </si>
  <si>
    <t xml:space="preserve">The expert are well mannered and share their. Knowledge with out hesitation </t>
  </si>
  <si>
    <t xml:space="preserve"> It helps me to understand sanitation and haygine concern and their remedy </t>
  </si>
  <si>
    <t xml:space="preserve">Lab session </t>
  </si>
  <si>
    <t xml:space="preserve">To use their time effectively and attend the program intintively </t>
  </si>
  <si>
    <t>July,2024</t>
  </si>
  <si>
    <t>S No.</t>
  </si>
  <si>
    <t>Module 1 (100%)</t>
  </si>
  <si>
    <t>Module 2 (100%)</t>
  </si>
  <si>
    <t>Module 3 (100%)</t>
  </si>
  <si>
    <t>Module 4 (100%)</t>
  </si>
  <si>
    <t>Module 5 (100%)</t>
  </si>
  <si>
    <t>Module 6 (100%)</t>
  </si>
  <si>
    <t>S.No.</t>
  </si>
  <si>
    <t xml:space="preserve">Academic year </t>
  </si>
  <si>
    <t xml:space="preserve">Course </t>
  </si>
  <si>
    <t xml:space="preserve">Gender </t>
  </si>
  <si>
    <t>College/Dept.</t>
  </si>
  <si>
    <t>Module 1[Out of 15]</t>
  </si>
  <si>
    <t>Module 2/ [Out of 25]</t>
  </si>
  <si>
    <t>Module 3/ [Out of 60]</t>
  </si>
  <si>
    <t>Module 4/ [Out of 15]</t>
  </si>
  <si>
    <t>Module 6/ [Out of 15]</t>
  </si>
  <si>
    <t>Overall Out of 100</t>
  </si>
  <si>
    <t>BPE</t>
  </si>
  <si>
    <t>F</t>
  </si>
  <si>
    <t>CAES/DABE</t>
  </si>
  <si>
    <t>WIE</t>
  </si>
  <si>
    <t>AGE</t>
  </si>
  <si>
    <t>M</t>
  </si>
  <si>
    <t>CE</t>
  </si>
  <si>
    <t>CEDAT/Civil Eng.</t>
  </si>
  <si>
    <t>BSc. Industrial Chemistry</t>
  </si>
  <si>
    <t xml:space="preserve">Chemistry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</si>
</sst>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_(* #,##0_);_(* \(#,##0\);_(* &quot;-&quot;??_);_(@_)"/>
    <numFmt numFmtId="166" formatCode="0.0"/>
  </numFmts>
  <fonts count="13" x14ac:knownFonts="1">
    <font>
      <sz val="10"/>
      <color rgb="FF000000"/>
      <name val="Arial"/>
      <scheme val="minor"/>
    </font>
    <font>
      <sz val="10"/>
      <color theme="1"/>
      <name val="Arial"/>
      <scheme val="minor"/>
    </font>
    <font>
      <b/>
      <sz val="10"/>
      <color theme="1"/>
      <name val="Arial"/>
    </font>
    <font>
      <sz val="10"/>
      <color theme="1"/>
      <name val="Arial"/>
    </font>
    <font>
      <b/>
      <sz val="12"/>
      <color rgb="FF000000"/>
      <name val="Arial"/>
      <family val="2"/>
      <scheme val="minor"/>
    </font>
    <font>
      <sz val="12"/>
      <color theme="1"/>
      <name val="Arial"/>
      <family val="2"/>
      <scheme val="minor"/>
    </font>
    <font>
      <b/>
      <sz val="10"/>
      <color rgb="FF000000"/>
      <name val="Arial"/>
      <family val="2"/>
      <scheme val="minor"/>
    </font>
    <font>
      <sz val="10"/>
      <color rgb="FF000000"/>
      <name val="Arial"/>
      <family val="2"/>
      <scheme val="minor"/>
    </font>
    <font>
      <sz val="10"/>
      <color rgb="FF0033CC"/>
      <name val="Arial"/>
      <family val="2"/>
      <scheme val="minor"/>
    </font>
    <font>
      <sz val="11"/>
      <color rgb="FF0033CC"/>
      <name val="Arial"/>
      <family val="2"/>
      <scheme val="minor"/>
    </font>
    <font>
      <b/>
      <sz val="11"/>
      <color rgb="FF0033CC"/>
      <name val="Arial"/>
      <family val="2"/>
      <scheme val="minor"/>
    </font>
    <font>
      <b/>
      <sz val="10"/>
      <color rgb="FFC00000"/>
      <name val="Arial"/>
      <family val="2"/>
      <scheme val="minor"/>
    </font>
    <font>
      <b/>
      <sz val="11"/>
      <color rgb="FFC00000"/>
      <name val="Arial"/>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rgb="FFCC99FF"/>
        <bgColor indexed="64"/>
      </patternFill>
    </fill>
    <fill>
      <patternFill patternType="solid">
        <fgColor rgb="FFCCFFCC"/>
        <bgColor indexed="64"/>
      </patternFill>
    </fill>
    <fill>
      <patternFill patternType="solid">
        <fgColor rgb="FFFFFF00"/>
        <bgColor indexed="64"/>
      </patternFill>
    </fill>
  </fills>
  <borders count="14">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1" fillId="0" borderId="0" xfId="0" applyFont="1"/>
    <xf numFmtId="164" fontId="1" fillId="0" borderId="0" xfId="0" applyNumberFormat="1" applyFo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8" xfId="0" quotePrefix="1" applyFont="1" applyBorder="1" applyAlignment="1">
      <alignment vertical="center"/>
    </xf>
    <xf numFmtId="0" fontId="1" fillId="0" borderId="9" xfId="0" applyFont="1" applyBorder="1" applyAlignment="1">
      <alignment vertical="center"/>
    </xf>
    <xf numFmtId="0" fontId="1" fillId="0" borderId="5" xfId="0" quotePrefix="1"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1" xfId="0" quotePrefix="1" applyFont="1" applyBorder="1" applyAlignment="1">
      <alignment vertical="center"/>
    </xf>
    <xf numFmtId="0" fontId="1" fillId="0" borderId="12" xfId="0" applyFont="1" applyBorder="1" applyAlignment="1">
      <alignment vertical="center"/>
    </xf>
    <xf numFmtId="0" fontId="4" fillId="0" borderId="13" xfId="0" applyFont="1" applyBorder="1" applyAlignment="1">
      <alignment vertical="center"/>
    </xf>
    <xf numFmtId="0" fontId="4" fillId="0" borderId="13" xfId="0" applyFont="1" applyBorder="1" applyAlignment="1">
      <alignment horizontal="center" vertical="center"/>
    </xf>
    <xf numFmtId="0" fontId="5" fillId="0" borderId="0" xfId="0" applyFont="1"/>
    <xf numFmtId="0" fontId="5" fillId="0" borderId="13" xfId="0" applyFont="1" applyBorder="1" applyAlignment="1">
      <alignment horizontal="center" vertical="center"/>
    </xf>
    <xf numFmtId="1" fontId="5" fillId="0" borderId="13" xfId="0" applyNumberFormat="1" applyFont="1" applyBorder="1" applyAlignment="1">
      <alignment horizontal="center" vertical="center"/>
    </xf>
    <xf numFmtId="0" fontId="5" fillId="0" borderId="13" xfId="0" applyFont="1" applyBorder="1" applyAlignment="1">
      <alignment horizontal="center"/>
    </xf>
    <xf numFmtId="165" fontId="5" fillId="0" borderId="13" xfId="0" applyNumberFormat="1" applyFont="1" applyBorder="1" applyAlignment="1">
      <alignment horizontal="center" vertical="center"/>
    </xf>
    <xf numFmtId="0" fontId="5" fillId="0" borderId="0" xfId="0" applyFont="1" applyAlignment="1">
      <alignment vertical="center"/>
    </xf>
    <xf numFmtId="166" fontId="5" fillId="0" borderId="0" xfId="0" applyNumberFormat="1" applyFont="1" applyAlignment="1">
      <alignment horizontal="center" vertical="center"/>
    </xf>
    <xf numFmtId="1" fontId="5"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xf>
    <xf numFmtId="0" fontId="6" fillId="0" borderId="13" xfId="0" applyFont="1" applyBorder="1" applyAlignment="1">
      <alignment vertical="center" wrapText="1"/>
    </xf>
    <xf numFmtId="0" fontId="6" fillId="2" borderId="13" xfId="0" applyFont="1" applyFill="1" applyBorder="1" applyAlignment="1">
      <alignment vertical="center" wrapText="1"/>
    </xf>
    <xf numFmtId="0" fontId="6" fillId="3" borderId="13" xfId="0" applyFont="1" applyFill="1" applyBorder="1" applyAlignment="1">
      <alignment vertical="center" wrapText="1"/>
    </xf>
    <xf numFmtId="0" fontId="6" fillId="4" borderId="13" xfId="0" applyFont="1" applyFill="1" applyBorder="1" applyAlignment="1">
      <alignment vertical="center" wrapText="1"/>
    </xf>
    <xf numFmtId="0" fontId="6" fillId="5" borderId="13" xfId="0" applyFont="1" applyFill="1" applyBorder="1" applyAlignment="1">
      <alignment vertical="center" wrapText="1"/>
    </xf>
    <xf numFmtId="0" fontId="0" fillId="6" borderId="13" xfId="0" applyFill="1" applyBorder="1" applyAlignment="1">
      <alignment wrapText="1"/>
    </xf>
    <xf numFmtId="0" fontId="7" fillId="0" borderId="13" xfId="0" applyFont="1" applyBorder="1" applyAlignment="1">
      <alignment horizontal="center" vertical="center" wrapText="1"/>
    </xf>
    <xf numFmtId="0" fontId="7" fillId="0" borderId="13" xfId="0" applyFont="1" applyBorder="1" applyAlignment="1">
      <alignment vertical="center" wrapText="1"/>
    </xf>
    <xf numFmtId="0" fontId="8" fillId="2" borderId="13"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0" fillId="4" borderId="13" xfId="0" applyFill="1" applyBorder="1" applyAlignment="1">
      <alignment horizontal="center"/>
    </xf>
    <xf numFmtId="0" fontId="0" fillId="5" borderId="13" xfId="0" applyFill="1" applyBorder="1" applyAlignment="1">
      <alignment horizontal="center"/>
    </xf>
    <xf numFmtId="1" fontId="0" fillId="6" borderId="13" xfId="0" applyNumberFormat="1" applyFill="1" applyBorder="1" applyAlignment="1">
      <alignment horizontal="center"/>
    </xf>
    <xf numFmtId="0" fontId="9" fillId="3" borderId="13" xfId="0" applyFont="1" applyFill="1" applyBorder="1" applyAlignment="1">
      <alignment horizontal="center"/>
    </xf>
    <xf numFmtId="0" fontId="7" fillId="0" borderId="13" xfId="0" applyFont="1" applyBorder="1" applyAlignment="1">
      <alignment horizontal="center" vertical="center"/>
    </xf>
    <xf numFmtId="0" fontId="7" fillId="0" borderId="13" xfId="0" applyFont="1" applyBorder="1" applyAlignment="1">
      <alignment vertical="center"/>
    </xf>
    <xf numFmtId="0" fontId="8" fillId="2" borderId="13" xfId="0" applyFont="1" applyFill="1" applyBorder="1" applyAlignment="1">
      <alignment horizontal="center" vertical="center"/>
    </xf>
    <xf numFmtId="0" fontId="0" fillId="0" borderId="13" xfId="0" applyBorder="1"/>
    <xf numFmtId="0" fontId="10" fillId="2" borderId="13" xfId="0" applyFont="1" applyFill="1" applyBorder="1" applyAlignment="1">
      <alignment horizontal="center"/>
    </xf>
    <xf numFmtId="1" fontId="10" fillId="3" borderId="13" xfId="0" applyNumberFormat="1" applyFont="1" applyFill="1" applyBorder="1" applyAlignment="1">
      <alignment horizontal="center"/>
    </xf>
    <xf numFmtId="0" fontId="0" fillId="6" borderId="13" xfId="0" applyFill="1" applyBorder="1"/>
    <xf numFmtId="0" fontId="11" fillId="0" borderId="13" xfId="0" applyFont="1" applyBorder="1" applyAlignment="1">
      <alignment vertical="center"/>
    </xf>
    <xf numFmtId="1" fontId="12" fillId="2" borderId="13" xfId="0" applyNumberFormat="1" applyFont="1" applyFill="1" applyBorder="1" applyAlignment="1">
      <alignment horizontal="center"/>
    </xf>
    <xf numFmtId="1" fontId="12" fillId="3" borderId="13" xfId="0" applyNumberFormat="1" applyFont="1" applyFill="1" applyBorder="1" applyAlignment="1">
      <alignment horizontal="center"/>
    </xf>
    <xf numFmtId="1" fontId="12" fillId="4" borderId="13" xfId="0" applyNumberFormat="1" applyFont="1" applyFill="1" applyBorder="1" applyAlignment="1">
      <alignment horizontal="center"/>
    </xf>
    <xf numFmtId="1" fontId="12" fillId="5" borderId="13" xfId="0" applyNumberFormat="1" applyFont="1" applyFill="1" applyBorder="1" applyAlignment="1">
      <alignment horizontal="center"/>
    </xf>
  </cellXfs>
  <cellStyles count="1">
    <cellStyle name="Normal" xfId="0" builtinId="0"/>
  </cellStyles>
  <dxfs count="59">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273246BC-B717-48C3-9ADE-5C0E3C0F819D}">
      <tableStyleElement type="headerRow" dxfId="58"/>
      <tableStyleElement type="firstRowStripe" dxfId="57"/>
      <tableStyleElement type="secondRowStripe" dxfId="5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0489F3-E2F2-4EF7-B809-DED554EE436D}" name="Form_Responses1" displayName="Form_Responses1" ref="A1:BA43" headerRowCount="0" headerRowDxfId="55" dataDxfId="54" totalsRowDxfId="53">
  <tableColumns count="53">
    <tableColumn id="1" xr3:uid="{06B0303E-10DD-4051-8F48-648B612F3AAC}" name="Column1" dataDxfId="52"/>
    <tableColumn id="2" xr3:uid="{61B54439-EB1A-4F9D-A1AB-F27B5804E6CC}" name="Column2" dataDxfId="51"/>
    <tableColumn id="3" xr3:uid="{83813BEE-DACF-45FD-ADA2-E970F9AF663C}" name="Column3" dataDxfId="50"/>
    <tableColumn id="4" xr3:uid="{87BFD7EB-3B85-4586-BF90-6CFA09A343AB}" name="Column4" dataDxfId="49"/>
    <tableColumn id="5" xr3:uid="{CEB5AA2D-265A-4ED3-A81E-A922885C4781}" name="Column5" dataDxfId="48"/>
    <tableColumn id="6" xr3:uid="{5038E3C4-F1B9-4951-9AB4-2F59AD29B7E7}" name="Column6" dataDxfId="47"/>
    <tableColumn id="7" xr3:uid="{079E3DEA-FF2C-4EB0-9FCE-6B743304D090}" name="Column7" dataDxfId="46"/>
    <tableColumn id="8" xr3:uid="{EE88232E-0C9F-4E93-9793-7E6CC38006DF}" name="Column8" dataDxfId="45"/>
    <tableColumn id="9" xr3:uid="{FD502079-06D0-449C-8D47-06E53071F2F9}" name="Column9" dataDxfId="44"/>
    <tableColumn id="10" xr3:uid="{2F34F09D-F4A7-457D-8246-0B1806C0E5F2}" name="Column10" dataDxfId="43"/>
    <tableColumn id="11" xr3:uid="{38325357-3E28-47E8-9358-95818255A49C}" name="Column11" dataDxfId="42"/>
    <tableColumn id="12" xr3:uid="{EF3D5980-CED6-47C0-9263-88F7D9FA6325}" name="Column12" dataDxfId="41"/>
    <tableColumn id="13" xr3:uid="{4BA47738-D6CF-4481-9C0D-52552EF4A514}" name="Column13" dataDxfId="40"/>
    <tableColumn id="14" xr3:uid="{5BEADBE4-69AA-4862-8E92-DBF4E3BE8204}" name="Column14" dataDxfId="39"/>
    <tableColumn id="15" xr3:uid="{D824E2AB-5B1E-4160-82FC-76EF9C93B4B0}" name="Column15" dataDxfId="38"/>
    <tableColumn id="16" xr3:uid="{36A9715C-E041-43B8-ACE0-C1AC5476CB26}" name="Column16" dataDxfId="37"/>
    <tableColumn id="17" xr3:uid="{01D1F07D-5C14-4C26-AD44-319584A41C8D}" name="Column17" dataDxfId="36"/>
    <tableColumn id="18" xr3:uid="{F28B0781-D86F-4B47-921D-553C8D492D38}" name="Column18" dataDxfId="35"/>
    <tableColumn id="19" xr3:uid="{8D701619-679D-430F-A010-9AC22BA84A7E}" name="Column19" dataDxfId="34"/>
    <tableColumn id="20" xr3:uid="{646F1D62-36DB-491A-AFBC-2728C920746C}" name="Column20" dataDxfId="33"/>
    <tableColumn id="21" xr3:uid="{9D9F27FC-B574-4824-9879-399128CBE23D}" name="Column21" dataDxfId="32"/>
    <tableColumn id="22" xr3:uid="{9ACF86C7-A2B8-4F7C-B982-CD6D8CED0206}" name="Column22" dataDxfId="31"/>
    <tableColumn id="23" xr3:uid="{6C68584C-EDE6-48FC-9B3F-108768B31F4C}" name="Column23" dataDxfId="30"/>
    <tableColumn id="24" xr3:uid="{782EB449-F3EC-40EC-B2EE-ADDEEDB9B950}" name="Column24" dataDxfId="29"/>
    <tableColumn id="25" xr3:uid="{C283CBA7-B4A7-40F1-975F-93D6864C1587}" name="Column25" dataDxfId="28"/>
    <tableColumn id="26" xr3:uid="{CB26E1D3-A7E4-4805-9BF2-6FFA8BF97E33}" name="Column26" dataDxfId="27"/>
    <tableColumn id="27" xr3:uid="{0B4EEDB9-6EE1-4717-A320-03B25DBAC22A}" name="Column27" dataDxfId="26"/>
    <tableColumn id="28" xr3:uid="{180E20D6-B35C-4DD6-A233-CA64A46A59C1}" name="Column28" dataDxfId="25"/>
    <tableColumn id="29" xr3:uid="{DE668EBB-EB0F-4930-B610-34CFD7383E47}" name="Column29" dataDxfId="24"/>
    <tableColumn id="30" xr3:uid="{3AE472AA-1676-4FA5-A116-5BBEF64B2683}" name="Column30" dataDxfId="23"/>
    <tableColumn id="31" xr3:uid="{E4D412B3-8469-4789-BAC5-7ECE9BD5AE75}" name="Column31" dataDxfId="22"/>
    <tableColumn id="32" xr3:uid="{79CA7D36-9141-4436-8E47-5C3E56BFC408}" name="Column32" dataDxfId="21"/>
    <tableColumn id="33" xr3:uid="{F2F036F9-309D-4701-BB8F-179F9136DADB}" name="Column33" dataDxfId="20"/>
    <tableColumn id="34" xr3:uid="{5E07B281-82E6-46A4-B09D-6136CE7FBFA7}" name="Column34" dataDxfId="19"/>
    <tableColumn id="35" xr3:uid="{2E3C9BE1-668E-457D-BF72-16197C178ADB}" name="Column35" dataDxfId="18"/>
    <tableColumn id="36" xr3:uid="{FEAFA82D-0D46-422E-8C3B-A4AADD79ADB3}" name="Column36" dataDxfId="17"/>
    <tableColumn id="37" xr3:uid="{E1FC29E7-40E7-4A7F-8E34-82204AD9D216}" name="Column37" dataDxfId="16"/>
    <tableColumn id="38" xr3:uid="{3B1876A4-8271-46A1-A8DD-309A45A1514A}" name="Column38" dataDxfId="15"/>
    <tableColumn id="39" xr3:uid="{37F428C2-C0F2-4CFE-97DB-C8072F146243}" name="Column39" dataDxfId="14"/>
    <tableColumn id="40" xr3:uid="{33BB3862-D44D-4AD4-964D-DE3F5840C593}" name="Column40" dataDxfId="13"/>
    <tableColumn id="41" xr3:uid="{9ECD7556-6BE2-4E7F-8559-A3DC4227DCCF}" name="Column41" dataDxfId="12"/>
    <tableColumn id="42" xr3:uid="{EE33FEE7-7C3B-4D2D-8D17-0A23B80B74D9}" name="Column42" dataDxfId="11"/>
    <tableColumn id="43" xr3:uid="{7592EFD4-2C49-4A55-89A2-FD02D5731274}" name="Column43" dataDxfId="10"/>
    <tableColumn id="44" xr3:uid="{D6384BF1-E20A-4299-8655-A291F885E8C1}" name="Column44" dataDxfId="9"/>
    <tableColumn id="45" xr3:uid="{ED2650FE-FFC7-44DC-A58C-3963871404E3}" name="Column45" dataDxfId="8"/>
    <tableColumn id="46" xr3:uid="{3D31F69C-6503-4BC3-8D48-07E670BC9FFA}" name="Column46" dataDxfId="7"/>
    <tableColumn id="47" xr3:uid="{0DCCE05F-E4C1-4BAE-B2C9-D2CC4D4131AE}" name="Column47" dataDxfId="6"/>
    <tableColumn id="48" xr3:uid="{0739E7ED-2F87-4B24-80B0-5E44029EBA4E}" name="Column48" dataDxfId="5"/>
    <tableColumn id="49" xr3:uid="{71C83D9C-283C-4C4B-9FCE-5C3D6EF81C38}" name="Column49" dataDxfId="4"/>
    <tableColumn id="50" xr3:uid="{327B4998-B965-462D-95BA-C306562E0605}" name="Column50" dataDxfId="3"/>
    <tableColumn id="51" xr3:uid="{4497B53F-D7AC-40CF-BA6F-725AB46BFD99}" name="Column51" dataDxfId="2"/>
    <tableColumn id="52" xr3:uid="{6EBC8068-EB96-407E-BF5F-92AC766A796B}" name="Column52" dataDxfId="1"/>
    <tableColumn id="53" xr3:uid="{A160B1DC-E113-4B79-8841-9232841D7B70}" name="Column53"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44"/>
  <sheetViews>
    <sheetView workbookViewId="0">
      <pane ySplit="1" topLeftCell="A2" activePane="bottomLeft" state="frozen"/>
      <selection pane="bottomLeft" activeCell="B3" sqref="B3"/>
    </sheetView>
  </sheetViews>
  <sheetFormatPr defaultColWidth="12.6328125" defaultRowHeight="15.75" customHeight="1" x14ac:dyDescent="0.25"/>
  <cols>
    <col min="1" max="8" width="18.90625" customWidth="1"/>
    <col min="9" max="9" width="49.453125" customWidth="1"/>
    <col min="10" max="19" width="18.90625" customWidth="1"/>
  </cols>
  <sheetData>
    <row r="1" spans="1:13" ht="13" x14ac:dyDescent="0.3">
      <c r="A1" s="1" t="s">
        <v>0</v>
      </c>
      <c r="B1" s="1" t="s">
        <v>1</v>
      </c>
      <c r="C1" s="1" t="s">
        <v>2</v>
      </c>
      <c r="D1" s="1" t="s">
        <v>3</v>
      </c>
      <c r="E1" s="1" t="s">
        <v>4</v>
      </c>
      <c r="F1" s="1" t="s">
        <v>5</v>
      </c>
      <c r="G1" s="1" t="s">
        <v>6</v>
      </c>
      <c r="H1" s="1" t="s">
        <v>7</v>
      </c>
      <c r="I1" s="1" t="s">
        <v>8</v>
      </c>
      <c r="J1" s="1" t="s">
        <v>9</v>
      </c>
      <c r="K1" s="1" t="s">
        <v>10</v>
      </c>
      <c r="L1" s="1" t="s">
        <v>11</v>
      </c>
      <c r="M1" s="1" t="s">
        <v>12</v>
      </c>
    </row>
    <row r="2" spans="1:13" ht="15.75" customHeight="1" x14ac:dyDescent="0.25">
      <c r="A2" s="2">
        <v>45241.001569259257</v>
      </c>
      <c r="B2" s="1" t="s">
        <v>13</v>
      </c>
      <c r="C2" s="1" t="s">
        <v>14</v>
      </c>
      <c r="D2" s="1" t="s">
        <v>14</v>
      </c>
      <c r="E2" s="1" t="s">
        <v>15</v>
      </c>
      <c r="F2" s="1" t="s">
        <v>16</v>
      </c>
      <c r="G2" s="1" t="s">
        <v>17</v>
      </c>
      <c r="H2" s="1" t="s">
        <v>18</v>
      </c>
      <c r="I2" s="1" t="s">
        <v>19</v>
      </c>
      <c r="J2" s="1" t="s">
        <v>20</v>
      </c>
      <c r="K2" s="1" t="s">
        <v>21</v>
      </c>
      <c r="L2" s="1">
        <v>21</v>
      </c>
      <c r="M2" s="1"/>
    </row>
    <row r="3" spans="1:13" ht="15.75" customHeight="1" x14ac:dyDescent="0.25">
      <c r="A3" s="2">
        <v>45241.002334918987</v>
      </c>
      <c r="B3" s="1" t="s">
        <v>13</v>
      </c>
      <c r="C3" s="1" t="s">
        <v>15</v>
      </c>
      <c r="D3" s="1" t="s">
        <v>22</v>
      </c>
      <c r="E3" s="1" t="s">
        <v>15</v>
      </c>
      <c r="F3" s="1" t="s">
        <v>16</v>
      </c>
      <c r="G3" s="1" t="s">
        <v>23</v>
      </c>
      <c r="H3" s="1" t="s">
        <v>18</v>
      </c>
      <c r="I3" s="1" t="s">
        <v>24</v>
      </c>
      <c r="J3" s="1" t="s">
        <v>20</v>
      </c>
      <c r="K3" s="1" t="s">
        <v>21</v>
      </c>
      <c r="L3" s="1">
        <v>22</v>
      </c>
      <c r="M3" s="1"/>
    </row>
    <row r="4" spans="1:13" ht="15.75" customHeight="1" x14ac:dyDescent="0.25">
      <c r="A4" s="2">
        <v>45241.002947719906</v>
      </c>
      <c r="B4" s="1" t="s">
        <v>25</v>
      </c>
      <c r="C4" s="1" t="s">
        <v>22</v>
      </c>
      <c r="D4" s="1" t="s">
        <v>22</v>
      </c>
      <c r="E4" s="1" t="s">
        <v>22</v>
      </c>
      <c r="F4" s="1" t="s">
        <v>16</v>
      </c>
      <c r="G4" s="1" t="s">
        <v>26</v>
      </c>
      <c r="H4" s="1" t="s">
        <v>18</v>
      </c>
      <c r="I4" s="1" t="s">
        <v>27</v>
      </c>
      <c r="J4" s="1" t="s">
        <v>20</v>
      </c>
      <c r="K4" s="1" t="s">
        <v>21</v>
      </c>
      <c r="L4" s="1">
        <v>22</v>
      </c>
      <c r="M4" s="1"/>
    </row>
    <row r="5" spans="1:13" ht="15.75" customHeight="1" x14ac:dyDescent="0.25">
      <c r="A5" s="2">
        <v>45241.003039606483</v>
      </c>
      <c r="B5" s="1" t="s">
        <v>28</v>
      </c>
      <c r="C5" s="1" t="s">
        <v>14</v>
      </c>
      <c r="D5" s="1" t="s">
        <v>22</v>
      </c>
      <c r="E5" s="1" t="s">
        <v>15</v>
      </c>
      <c r="F5" s="1" t="s">
        <v>16</v>
      </c>
      <c r="G5" s="1" t="s">
        <v>29</v>
      </c>
      <c r="H5" s="1" t="s">
        <v>18</v>
      </c>
      <c r="I5" s="1" t="s">
        <v>30</v>
      </c>
      <c r="J5" s="1" t="s">
        <v>20</v>
      </c>
      <c r="K5" s="1" t="s">
        <v>21</v>
      </c>
      <c r="L5" s="1">
        <v>21</v>
      </c>
      <c r="M5" s="1"/>
    </row>
    <row r="6" spans="1:13" ht="15.75" customHeight="1" x14ac:dyDescent="0.25">
      <c r="A6" s="2">
        <v>45241.003170115742</v>
      </c>
      <c r="B6" s="1" t="s">
        <v>25</v>
      </c>
      <c r="C6" s="1" t="s">
        <v>15</v>
      </c>
      <c r="D6" s="1" t="s">
        <v>14</v>
      </c>
      <c r="E6" s="1" t="s">
        <v>14</v>
      </c>
      <c r="F6" s="1" t="s">
        <v>31</v>
      </c>
      <c r="G6" s="1" t="s">
        <v>32</v>
      </c>
      <c r="H6" s="1" t="s">
        <v>18</v>
      </c>
      <c r="I6" s="1" t="s">
        <v>33</v>
      </c>
      <c r="J6" s="1" t="s">
        <v>20</v>
      </c>
      <c r="K6" s="1" t="s">
        <v>34</v>
      </c>
      <c r="L6" s="1">
        <v>21</v>
      </c>
      <c r="M6" s="1"/>
    </row>
    <row r="7" spans="1:13" ht="15.75" customHeight="1" x14ac:dyDescent="0.25">
      <c r="A7" s="2">
        <v>45241.003712291669</v>
      </c>
      <c r="B7" s="1" t="s">
        <v>25</v>
      </c>
      <c r="C7" s="1" t="s">
        <v>22</v>
      </c>
      <c r="D7" s="1" t="s">
        <v>15</v>
      </c>
      <c r="E7" s="1" t="s">
        <v>14</v>
      </c>
      <c r="F7" s="1" t="s">
        <v>16</v>
      </c>
      <c r="G7" s="1" t="s">
        <v>35</v>
      </c>
      <c r="H7" s="1" t="s">
        <v>18</v>
      </c>
      <c r="I7" s="1" t="s">
        <v>36</v>
      </c>
      <c r="J7" s="1" t="s">
        <v>20</v>
      </c>
      <c r="K7" s="1" t="s">
        <v>21</v>
      </c>
      <c r="L7" s="1">
        <v>21</v>
      </c>
      <c r="M7" s="1"/>
    </row>
    <row r="8" spans="1:13" ht="15.75" customHeight="1" x14ac:dyDescent="0.25">
      <c r="A8" s="2">
        <v>45241.004862048612</v>
      </c>
      <c r="B8" s="1" t="s">
        <v>37</v>
      </c>
      <c r="C8" s="1" t="s">
        <v>15</v>
      </c>
      <c r="D8" s="1" t="s">
        <v>15</v>
      </c>
      <c r="E8" s="1" t="s">
        <v>14</v>
      </c>
      <c r="F8" s="1" t="s">
        <v>16</v>
      </c>
      <c r="G8" s="1" t="s">
        <v>38</v>
      </c>
      <c r="H8" s="1" t="s">
        <v>18</v>
      </c>
      <c r="I8" s="1" t="s">
        <v>39</v>
      </c>
      <c r="J8" s="1" t="s">
        <v>20</v>
      </c>
      <c r="K8" s="1" t="s">
        <v>21</v>
      </c>
      <c r="L8" s="1">
        <v>21</v>
      </c>
      <c r="M8" s="1"/>
    </row>
    <row r="9" spans="1:13" ht="15.75" customHeight="1" x14ac:dyDescent="0.25">
      <c r="A9" s="2">
        <v>45241.004942546293</v>
      </c>
      <c r="B9" s="1" t="s">
        <v>40</v>
      </c>
      <c r="C9" s="1" t="s">
        <v>15</v>
      </c>
      <c r="D9" s="1" t="s">
        <v>41</v>
      </c>
      <c r="E9" s="1" t="s">
        <v>41</v>
      </c>
      <c r="F9" s="1" t="s">
        <v>16</v>
      </c>
      <c r="G9" s="1" t="s">
        <v>42</v>
      </c>
      <c r="H9" s="1" t="s">
        <v>18</v>
      </c>
      <c r="I9" s="1" t="s">
        <v>43</v>
      </c>
      <c r="J9" s="1" t="s">
        <v>20</v>
      </c>
      <c r="K9" s="1" t="s">
        <v>21</v>
      </c>
      <c r="L9" s="1">
        <v>23</v>
      </c>
      <c r="M9" s="1"/>
    </row>
    <row r="10" spans="1:13" ht="15.75" customHeight="1" x14ac:dyDescent="0.25">
      <c r="A10" s="2">
        <v>45241.004967928238</v>
      </c>
      <c r="B10" s="1" t="s">
        <v>44</v>
      </c>
      <c r="C10" s="1" t="s">
        <v>22</v>
      </c>
      <c r="D10" s="1" t="s">
        <v>22</v>
      </c>
      <c r="E10" s="1" t="s">
        <v>22</v>
      </c>
      <c r="F10" s="1" t="s">
        <v>16</v>
      </c>
      <c r="G10" s="1" t="s">
        <v>45</v>
      </c>
      <c r="H10" s="1" t="s">
        <v>18</v>
      </c>
      <c r="I10" s="1" t="s">
        <v>46</v>
      </c>
      <c r="J10" s="1" t="s">
        <v>20</v>
      </c>
      <c r="K10" s="1" t="s">
        <v>21</v>
      </c>
      <c r="L10" s="1">
        <v>21</v>
      </c>
      <c r="M10" s="1"/>
    </row>
    <row r="11" spans="1:13" ht="15.75" customHeight="1" x14ac:dyDescent="0.25">
      <c r="A11" s="2">
        <v>45241.006157800926</v>
      </c>
      <c r="B11" s="1" t="s">
        <v>25</v>
      </c>
      <c r="C11" s="1" t="s">
        <v>14</v>
      </c>
      <c r="D11" s="1" t="s">
        <v>14</v>
      </c>
      <c r="E11" s="1" t="s">
        <v>14</v>
      </c>
      <c r="F11" s="1" t="s">
        <v>16</v>
      </c>
      <c r="G11" s="1" t="s">
        <v>47</v>
      </c>
      <c r="H11" s="1" t="s">
        <v>18</v>
      </c>
      <c r="I11" s="1" t="s">
        <v>48</v>
      </c>
      <c r="J11" s="1" t="s">
        <v>20</v>
      </c>
      <c r="K11" s="1" t="s">
        <v>21</v>
      </c>
      <c r="L11" s="1">
        <v>21</v>
      </c>
      <c r="M11" s="1"/>
    </row>
    <row r="12" spans="1:13" ht="15.75" customHeight="1" x14ac:dyDescent="0.25">
      <c r="A12" s="2">
        <v>45241.006559375004</v>
      </c>
      <c r="B12" s="1" t="s">
        <v>37</v>
      </c>
      <c r="C12" s="1" t="s">
        <v>14</v>
      </c>
      <c r="D12" s="1" t="s">
        <v>14</v>
      </c>
      <c r="E12" s="1" t="s">
        <v>22</v>
      </c>
      <c r="F12" s="1" t="s">
        <v>16</v>
      </c>
      <c r="G12" s="1" t="s">
        <v>49</v>
      </c>
      <c r="H12" s="1" t="s">
        <v>18</v>
      </c>
      <c r="I12" s="1" t="s">
        <v>50</v>
      </c>
      <c r="J12" s="1" t="s">
        <v>20</v>
      </c>
      <c r="K12" s="1" t="s">
        <v>34</v>
      </c>
      <c r="L12" s="1">
        <v>25</v>
      </c>
      <c r="M12" s="1"/>
    </row>
    <row r="13" spans="1:13" ht="15.75" customHeight="1" x14ac:dyDescent="0.25">
      <c r="A13" s="2">
        <v>45241.025895925923</v>
      </c>
      <c r="B13" s="1" t="s">
        <v>51</v>
      </c>
      <c r="C13" s="1" t="s">
        <v>22</v>
      </c>
      <c r="D13" s="1" t="s">
        <v>15</v>
      </c>
      <c r="E13" s="1" t="s">
        <v>15</v>
      </c>
      <c r="F13" s="1" t="s">
        <v>16</v>
      </c>
      <c r="G13" s="1" t="s">
        <v>52</v>
      </c>
      <c r="H13" s="1" t="s">
        <v>18</v>
      </c>
      <c r="I13" s="1" t="s">
        <v>53</v>
      </c>
      <c r="J13" s="1" t="s">
        <v>20</v>
      </c>
      <c r="K13" s="1" t="s">
        <v>34</v>
      </c>
      <c r="L13" s="1">
        <v>20</v>
      </c>
      <c r="M13" s="1"/>
    </row>
    <row r="14" spans="1:13" ht="15.75" customHeight="1" x14ac:dyDescent="0.25">
      <c r="A14" s="2">
        <v>45241.007713344909</v>
      </c>
      <c r="B14" s="1" t="s">
        <v>54</v>
      </c>
      <c r="C14" s="1" t="s">
        <v>22</v>
      </c>
      <c r="D14" s="1" t="s">
        <v>15</v>
      </c>
      <c r="E14" s="1" t="s">
        <v>15</v>
      </c>
      <c r="F14" s="1" t="s">
        <v>16</v>
      </c>
      <c r="G14" s="1" t="s">
        <v>55</v>
      </c>
      <c r="H14" s="1" t="s">
        <v>18</v>
      </c>
      <c r="I14" s="1" t="s">
        <v>56</v>
      </c>
      <c r="J14" s="1" t="s">
        <v>20</v>
      </c>
      <c r="K14" s="1" t="s">
        <v>34</v>
      </c>
      <c r="L14" s="1">
        <v>20</v>
      </c>
      <c r="M14" s="1"/>
    </row>
    <row r="15" spans="1:13" ht="15.75" customHeight="1" x14ac:dyDescent="0.25">
      <c r="A15" s="2">
        <v>45241.008129317124</v>
      </c>
      <c r="B15" s="1" t="s">
        <v>57</v>
      </c>
      <c r="C15" s="1" t="s">
        <v>22</v>
      </c>
      <c r="D15" s="1" t="s">
        <v>15</v>
      </c>
      <c r="E15" s="1" t="s">
        <v>14</v>
      </c>
      <c r="F15" s="1" t="s">
        <v>16</v>
      </c>
      <c r="G15" s="1" t="s">
        <v>58</v>
      </c>
      <c r="H15" s="1" t="s">
        <v>18</v>
      </c>
      <c r="I15" s="1" t="s">
        <v>59</v>
      </c>
      <c r="J15" s="1" t="s">
        <v>60</v>
      </c>
      <c r="K15" s="1" t="s">
        <v>21</v>
      </c>
      <c r="L15" s="1">
        <v>23</v>
      </c>
      <c r="M15" s="1"/>
    </row>
    <row r="16" spans="1:13" ht="15.75" customHeight="1" x14ac:dyDescent="0.25">
      <c r="A16" s="2">
        <v>45241.009362372686</v>
      </c>
      <c r="B16" s="1" t="s">
        <v>61</v>
      </c>
      <c r="C16" s="1" t="s">
        <v>15</v>
      </c>
      <c r="D16" s="1" t="s">
        <v>15</v>
      </c>
      <c r="E16" s="1" t="s">
        <v>14</v>
      </c>
      <c r="F16" s="1" t="s">
        <v>16</v>
      </c>
      <c r="G16" s="1" t="s">
        <v>62</v>
      </c>
      <c r="H16" s="1" t="s">
        <v>18</v>
      </c>
      <c r="I16" s="1" t="s">
        <v>56</v>
      </c>
      <c r="J16" s="1" t="s">
        <v>20</v>
      </c>
      <c r="K16" s="1" t="s">
        <v>34</v>
      </c>
      <c r="L16" s="1">
        <v>21</v>
      </c>
      <c r="M16" s="1"/>
    </row>
    <row r="17" spans="1:13" ht="15.75" customHeight="1" x14ac:dyDescent="0.25">
      <c r="A17" s="2">
        <v>45241.010034687497</v>
      </c>
      <c r="B17" s="1" t="s">
        <v>63</v>
      </c>
      <c r="C17" s="1" t="s">
        <v>15</v>
      </c>
      <c r="D17" s="1" t="s">
        <v>22</v>
      </c>
      <c r="E17" s="1" t="s">
        <v>22</v>
      </c>
      <c r="F17" s="1" t="s">
        <v>16</v>
      </c>
      <c r="G17" s="1" t="s">
        <v>64</v>
      </c>
      <c r="H17" s="1" t="s">
        <v>18</v>
      </c>
      <c r="I17" s="1" t="s">
        <v>65</v>
      </c>
      <c r="J17" s="1" t="s">
        <v>20</v>
      </c>
      <c r="K17" s="1" t="s">
        <v>34</v>
      </c>
      <c r="L17" s="1">
        <v>21</v>
      </c>
      <c r="M17" s="1"/>
    </row>
    <row r="18" spans="1:13" ht="15.75" customHeight="1" x14ac:dyDescent="0.25">
      <c r="A18" s="2">
        <v>45241.010430011578</v>
      </c>
      <c r="B18" s="1" t="s">
        <v>66</v>
      </c>
      <c r="C18" s="1" t="s">
        <v>15</v>
      </c>
      <c r="D18" s="1" t="s">
        <v>15</v>
      </c>
      <c r="E18" s="1" t="s">
        <v>15</v>
      </c>
      <c r="F18" s="1" t="s">
        <v>16</v>
      </c>
      <c r="G18" s="1" t="s">
        <v>67</v>
      </c>
      <c r="H18" s="1" t="s">
        <v>18</v>
      </c>
      <c r="I18" s="1" t="s">
        <v>68</v>
      </c>
      <c r="J18" s="1" t="s">
        <v>20</v>
      </c>
      <c r="K18" s="1" t="s">
        <v>34</v>
      </c>
      <c r="L18" s="1">
        <v>22</v>
      </c>
      <c r="M18" s="1"/>
    </row>
    <row r="19" spans="1:13" ht="15.75" customHeight="1" x14ac:dyDescent="0.25">
      <c r="A19" s="2">
        <v>45241.010557233792</v>
      </c>
      <c r="B19" s="1" t="s">
        <v>25</v>
      </c>
      <c r="C19" s="1" t="s">
        <v>15</v>
      </c>
      <c r="D19" s="1" t="s">
        <v>15</v>
      </c>
      <c r="E19" s="1" t="s">
        <v>15</v>
      </c>
      <c r="F19" s="1" t="s">
        <v>16</v>
      </c>
      <c r="G19" s="1" t="s">
        <v>69</v>
      </c>
      <c r="H19" s="1" t="s">
        <v>18</v>
      </c>
      <c r="I19" s="1" t="s">
        <v>70</v>
      </c>
      <c r="J19" s="1" t="s">
        <v>20</v>
      </c>
      <c r="K19" s="1" t="s">
        <v>34</v>
      </c>
      <c r="L19" s="1">
        <v>22</v>
      </c>
      <c r="M19" s="1"/>
    </row>
    <row r="20" spans="1:13" ht="15.75" customHeight="1" x14ac:dyDescent="0.25">
      <c r="A20" s="2">
        <v>45241.011303958338</v>
      </c>
      <c r="B20" s="1" t="s">
        <v>71</v>
      </c>
      <c r="C20" s="1" t="s">
        <v>15</v>
      </c>
      <c r="D20" s="1" t="s">
        <v>15</v>
      </c>
      <c r="E20" s="1" t="s">
        <v>14</v>
      </c>
      <c r="F20" s="1" t="s">
        <v>16</v>
      </c>
      <c r="G20" s="1" t="s">
        <v>72</v>
      </c>
      <c r="H20" s="1" t="s">
        <v>18</v>
      </c>
      <c r="I20" s="1" t="s">
        <v>73</v>
      </c>
      <c r="J20" s="1" t="s">
        <v>60</v>
      </c>
      <c r="K20" s="1" t="s">
        <v>21</v>
      </c>
      <c r="L20" s="1">
        <v>23</v>
      </c>
      <c r="M20" s="1"/>
    </row>
    <row r="21" spans="1:13" ht="15.75" customHeight="1" x14ac:dyDescent="0.25">
      <c r="A21" s="2">
        <v>45241.012078726853</v>
      </c>
      <c r="B21" s="1" t="s">
        <v>74</v>
      </c>
      <c r="C21" s="1" t="s">
        <v>15</v>
      </c>
      <c r="D21" s="1" t="s">
        <v>14</v>
      </c>
      <c r="E21" s="1" t="s">
        <v>15</v>
      </c>
      <c r="F21" s="1" t="s">
        <v>16</v>
      </c>
      <c r="G21" s="1" t="s">
        <v>75</v>
      </c>
      <c r="H21" s="1" t="s">
        <v>18</v>
      </c>
      <c r="I21" s="1" t="s">
        <v>76</v>
      </c>
      <c r="J21" s="1" t="s">
        <v>60</v>
      </c>
      <c r="K21" s="1" t="s">
        <v>21</v>
      </c>
      <c r="L21" s="1">
        <v>23</v>
      </c>
      <c r="M21" s="1"/>
    </row>
    <row r="22" spans="1:13" ht="15.75" customHeight="1" x14ac:dyDescent="0.25">
      <c r="A22" s="2">
        <v>45241.012131643518</v>
      </c>
      <c r="B22" s="1" t="s">
        <v>77</v>
      </c>
      <c r="C22" s="1" t="s">
        <v>22</v>
      </c>
      <c r="D22" s="1" t="s">
        <v>15</v>
      </c>
      <c r="E22" s="1" t="s">
        <v>15</v>
      </c>
      <c r="F22" s="1" t="s">
        <v>16</v>
      </c>
      <c r="G22" s="1" t="s">
        <v>78</v>
      </c>
      <c r="H22" s="1" t="s">
        <v>18</v>
      </c>
      <c r="I22" s="1" t="s">
        <v>79</v>
      </c>
      <c r="J22" s="1" t="s">
        <v>20</v>
      </c>
      <c r="K22" s="1" t="s">
        <v>34</v>
      </c>
      <c r="L22" s="1">
        <v>21</v>
      </c>
      <c r="M22" s="1"/>
    </row>
    <row r="23" spans="1:13" ht="15.75" customHeight="1" x14ac:dyDescent="0.25">
      <c r="A23" s="2">
        <v>45241.012971180557</v>
      </c>
      <c r="B23" s="1" t="s">
        <v>37</v>
      </c>
      <c r="C23" s="1" t="s">
        <v>15</v>
      </c>
      <c r="D23" s="1" t="s">
        <v>22</v>
      </c>
      <c r="E23" s="1" t="s">
        <v>22</v>
      </c>
      <c r="F23" s="1" t="s">
        <v>16</v>
      </c>
      <c r="G23" s="1" t="s">
        <v>80</v>
      </c>
      <c r="H23" s="1" t="s">
        <v>18</v>
      </c>
      <c r="I23" s="1" t="s">
        <v>43</v>
      </c>
      <c r="J23" s="1" t="s">
        <v>20</v>
      </c>
      <c r="K23" s="1" t="s">
        <v>21</v>
      </c>
      <c r="L23" s="1">
        <v>21</v>
      </c>
      <c r="M23" s="1"/>
    </row>
    <row r="24" spans="1:13" ht="12.5" x14ac:dyDescent="0.25">
      <c r="A24" s="2">
        <v>45241.013294293982</v>
      </c>
      <c r="B24" s="1" t="s">
        <v>57</v>
      </c>
      <c r="C24" s="1" t="s">
        <v>15</v>
      </c>
      <c r="D24" s="1" t="s">
        <v>22</v>
      </c>
      <c r="E24" s="1" t="s">
        <v>22</v>
      </c>
      <c r="F24" s="1" t="s">
        <v>16</v>
      </c>
      <c r="G24" s="1" t="s">
        <v>81</v>
      </c>
      <c r="H24" s="1" t="s">
        <v>18</v>
      </c>
      <c r="I24" s="1" t="s">
        <v>82</v>
      </c>
      <c r="J24" s="1" t="s">
        <v>60</v>
      </c>
      <c r="K24" s="1" t="s">
        <v>21</v>
      </c>
      <c r="L24" s="1">
        <v>23</v>
      </c>
      <c r="M24" s="1"/>
    </row>
    <row r="25" spans="1:13" ht="12.5" x14ac:dyDescent="0.25">
      <c r="A25" s="2">
        <v>45241.013114351852</v>
      </c>
      <c r="B25" s="1" t="s">
        <v>61</v>
      </c>
      <c r="C25" s="1" t="s">
        <v>15</v>
      </c>
      <c r="D25" s="1" t="s">
        <v>15</v>
      </c>
      <c r="E25" s="1" t="s">
        <v>15</v>
      </c>
      <c r="F25" s="1" t="s">
        <v>16</v>
      </c>
      <c r="G25" s="1" t="s">
        <v>83</v>
      </c>
      <c r="H25" s="1" t="s">
        <v>18</v>
      </c>
      <c r="I25" s="1" t="s">
        <v>84</v>
      </c>
      <c r="J25" s="1" t="s">
        <v>20</v>
      </c>
      <c r="K25" s="1" t="s">
        <v>34</v>
      </c>
      <c r="L25" s="1">
        <v>22</v>
      </c>
      <c r="M25" s="1"/>
    </row>
    <row r="26" spans="1:13" ht="12.5" x14ac:dyDescent="0.25">
      <c r="A26" s="2">
        <v>45241.014266388884</v>
      </c>
      <c r="B26" s="1" t="s">
        <v>85</v>
      </c>
      <c r="C26" s="1" t="s">
        <v>15</v>
      </c>
      <c r="D26" s="1" t="s">
        <v>14</v>
      </c>
      <c r="E26" s="1" t="s">
        <v>14</v>
      </c>
      <c r="F26" s="1" t="s">
        <v>16</v>
      </c>
      <c r="G26" s="1" t="s">
        <v>86</v>
      </c>
      <c r="H26" s="1" t="s">
        <v>18</v>
      </c>
      <c r="I26" s="1" t="s">
        <v>33</v>
      </c>
      <c r="J26" s="1" t="s">
        <v>20</v>
      </c>
      <c r="K26" s="1" t="s">
        <v>34</v>
      </c>
      <c r="L26" s="1">
        <v>20</v>
      </c>
      <c r="M26" s="1"/>
    </row>
    <row r="27" spans="1:13" ht="12.5" x14ac:dyDescent="0.25">
      <c r="A27" s="2">
        <v>45241.014414050922</v>
      </c>
      <c r="B27" s="1" t="s">
        <v>25</v>
      </c>
      <c r="C27" s="1" t="s">
        <v>41</v>
      </c>
      <c r="D27" s="1" t="s">
        <v>41</v>
      </c>
      <c r="E27" s="1" t="s">
        <v>41</v>
      </c>
      <c r="F27" s="1" t="s">
        <v>16</v>
      </c>
      <c r="G27" s="1" t="s">
        <v>87</v>
      </c>
      <c r="H27" s="1" t="s">
        <v>18</v>
      </c>
      <c r="I27" s="1" t="s">
        <v>88</v>
      </c>
      <c r="J27" s="1" t="s">
        <v>20</v>
      </c>
      <c r="K27" s="1" t="s">
        <v>34</v>
      </c>
      <c r="L27" s="1">
        <v>22</v>
      </c>
      <c r="M27" s="1"/>
    </row>
    <row r="28" spans="1:13" ht="12.5" x14ac:dyDescent="0.25">
      <c r="A28" s="2">
        <v>45241.016245555555</v>
      </c>
      <c r="B28" s="1" t="s">
        <v>89</v>
      </c>
      <c r="C28" s="1" t="s">
        <v>90</v>
      </c>
      <c r="D28" s="1" t="s">
        <v>90</v>
      </c>
      <c r="E28" s="1" t="s">
        <v>90</v>
      </c>
      <c r="F28" s="1" t="s">
        <v>16</v>
      </c>
      <c r="G28" s="1" t="s">
        <v>91</v>
      </c>
      <c r="H28" s="1" t="s">
        <v>18</v>
      </c>
      <c r="I28" s="1" t="s">
        <v>92</v>
      </c>
      <c r="J28" s="1" t="s">
        <v>20</v>
      </c>
      <c r="K28" s="1" t="s">
        <v>21</v>
      </c>
      <c r="L28" s="1">
        <v>22</v>
      </c>
      <c r="M28" s="1"/>
    </row>
    <row r="29" spans="1:13" ht="12.5" x14ac:dyDescent="0.25">
      <c r="A29" s="2">
        <v>45241.020018043986</v>
      </c>
      <c r="B29" s="1" t="s">
        <v>77</v>
      </c>
      <c r="C29" s="1" t="s">
        <v>22</v>
      </c>
      <c r="D29" s="1" t="s">
        <v>15</v>
      </c>
      <c r="E29" s="1" t="s">
        <v>15</v>
      </c>
      <c r="F29" s="1" t="s">
        <v>16</v>
      </c>
      <c r="G29" s="1" t="s">
        <v>93</v>
      </c>
      <c r="H29" s="1" t="s">
        <v>18</v>
      </c>
      <c r="I29" s="1" t="s">
        <v>94</v>
      </c>
      <c r="J29" s="1" t="s">
        <v>20</v>
      </c>
      <c r="K29" s="1" t="s">
        <v>34</v>
      </c>
      <c r="L29" s="1">
        <v>21</v>
      </c>
      <c r="M29" s="1"/>
    </row>
    <row r="30" spans="1:13" ht="12.5" x14ac:dyDescent="0.25">
      <c r="A30" s="2">
        <v>45241.023316030092</v>
      </c>
      <c r="B30" s="1" t="s">
        <v>95</v>
      </c>
      <c r="C30" s="1" t="s">
        <v>15</v>
      </c>
      <c r="D30" s="1" t="s">
        <v>14</v>
      </c>
      <c r="E30" s="1" t="s">
        <v>14</v>
      </c>
      <c r="F30" s="1" t="s">
        <v>16</v>
      </c>
      <c r="G30" s="1" t="s">
        <v>96</v>
      </c>
      <c r="H30" s="1" t="s">
        <v>18</v>
      </c>
      <c r="I30" s="1" t="s">
        <v>97</v>
      </c>
      <c r="J30" s="1" t="s">
        <v>20</v>
      </c>
      <c r="K30" s="1" t="s">
        <v>21</v>
      </c>
      <c r="L30" s="1">
        <v>21</v>
      </c>
      <c r="M30" s="1"/>
    </row>
    <row r="31" spans="1:13" ht="12.5" x14ac:dyDescent="0.25">
      <c r="A31" s="2">
        <v>45419.123972361107</v>
      </c>
      <c r="B31" s="1" t="s">
        <v>98</v>
      </c>
      <c r="C31" s="1" t="s">
        <v>15</v>
      </c>
      <c r="D31" s="1" t="s">
        <v>14</v>
      </c>
      <c r="E31" s="1" t="s">
        <v>15</v>
      </c>
      <c r="F31" s="1" t="s">
        <v>16</v>
      </c>
      <c r="G31" s="1" t="s">
        <v>99</v>
      </c>
      <c r="H31" s="1" t="s">
        <v>100</v>
      </c>
      <c r="I31" s="1" t="s">
        <v>101</v>
      </c>
      <c r="J31" s="1" t="s">
        <v>102</v>
      </c>
      <c r="K31" s="1" t="s">
        <v>21</v>
      </c>
      <c r="L31" s="1">
        <v>23</v>
      </c>
      <c r="M31" s="1" t="s">
        <v>103</v>
      </c>
    </row>
    <row r="32" spans="1:13" ht="12.5" x14ac:dyDescent="0.25">
      <c r="A32" s="2">
        <v>45419.13091018518</v>
      </c>
      <c r="B32" s="1" t="s">
        <v>28</v>
      </c>
      <c r="C32" s="1" t="s">
        <v>15</v>
      </c>
      <c r="D32" s="1" t="s">
        <v>15</v>
      </c>
      <c r="E32" s="1" t="s">
        <v>14</v>
      </c>
      <c r="F32" s="1" t="s">
        <v>16</v>
      </c>
      <c r="G32" s="1" t="s">
        <v>104</v>
      </c>
      <c r="H32" s="1" t="s">
        <v>100</v>
      </c>
      <c r="I32" s="1" t="s">
        <v>105</v>
      </c>
      <c r="J32" s="1" t="s">
        <v>106</v>
      </c>
      <c r="K32" s="1" t="s">
        <v>21</v>
      </c>
      <c r="L32" s="1">
        <v>27</v>
      </c>
      <c r="M32" s="1" t="s">
        <v>107</v>
      </c>
    </row>
    <row r="33" spans="1:13" ht="12.5" x14ac:dyDescent="0.25">
      <c r="A33" s="2">
        <v>45419.152289606485</v>
      </c>
      <c r="B33" s="1" t="s">
        <v>25</v>
      </c>
      <c r="C33" s="1" t="s">
        <v>15</v>
      </c>
      <c r="D33" s="1" t="s">
        <v>15</v>
      </c>
      <c r="E33" s="1" t="s">
        <v>15</v>
      </c>
      <c r="F33" s="1" t="s">
        <v>16</v>
      </c>
      <c r="G33" s="1" t="s">
        <v>108</v>
      </c>
      <c r="H33" s="1" t="s">
        <v>100</v>
      </c>
      <c r="I33" s="1" t="s">
        <v>109</v>
      </c>
      <c r="J33" s="1" t="s">
        <v>106</v>
      </c>
      <c r="K33" s="1" t="s">
        <v>21</v>
      </c>
      <c r="L33" s="1">
        <v>36</v>
      </c>
      <c r="M33" s="1" t="s">
        <v>110</v>
      </c>
    </row>
    <row r="34" spans="1:13" ht="12.5" x14ac:dyDescent="0.25">
      <c r="A34" s="2">
        <v>45419.521325902781</v>
      </c>
      <c r="B34" s="1" t="s">
        <v>111</v>
      </c>
      <c r="C34" s="1" t="s">
        <v>15</v>
      </c>
      <c r="D34" s="1" t="s">
        <v>15</v>
      </c>
      <c r="E34" s="1" t="s">
        <v>14</v>
      </c>
      <c r="F34" s="1" t="s">
        <v>16</v>
      </c>
      <c r="G34" s="1" t="s">
        <v>112</v>
      </c>
      <c r="H34" s="1" t="s">
        <v>100</v>
      </c>
      <c r="I34" s="1" t="s">
        <v>113</v>
      </c>
      <c r="J34" s="1" t="s">
        <v>114</v>
      </c>
      <c r="K34" s="1" t="s">
        <v>21</v>
      </c>
      <c r="L34" s="1">
        <v>25</v>
      </c>
      <c r="M34" s="1" t="s">
        <v>115</v>
      </c>
    </row>
    <row r="35" spans="1:13" ht="12.5" x14ac:dyDescent="0.25">
      <c r="A35" s="2">
        <v>45419.278589027774</v>
      </c>
      <c r="B35" s="1" t="s">
        <v>57</v>
      </c>
      <c r="C35" s="1" t="s">
        <v>15</v>
      </c>
      <c r="D35" s="1" t="s">
        <v>15</v>
      </c>
      <c r="E35" s="1" t="s">
        <v>15</v>
      </c>
      <c r="F35" s="1" t="s">
        <v>16</v>
      </c>
      <c r="G35" s="1" t="s">
        <v>116</v>
      </c>
      <c r="H35" s="1" t="s">
        <v>100</v>
      </c>
      <c r="I35" s="1" t="s">
        <v>117</v>
      </c>
      <c r="J35" s="1" t="s">
        <v>118</v>
      </c>
      <c r="K35" s="1" t="s">
        <v>21</v>
      </c>
      <c r="L35" s="1">
        <v>22</v>
      </c>
      <c r="M35" s="1" t="s">
        <v>119</v>
      </c>
    </row>
    <row r="36" spans="1:13" ht="12.5" x14ac:dyDescent="0.25">
      <c r="A36" s="2">
        <v>45420.30400340278</v>
      </c>
      <c r="B36" s="1" t="s">
        <v>120</v>
      </c>
      <c r="C36" s="1" t="s">
        <v>15</v>
      </c>
      <c r="D36" s="1" t="s">
        <v>14</v>
      </c>
      <c r="E36" s="1" t="s">
        <v>14</v>
      </c>
      <c r="F36" s="1" t="s">
        <v>16</v>
      </c>
      <c r="G36" s="1" t="s">
        <v>121</v>
      </c>
      <c r="H36" s="1" t="s">
        <v>100</v>
      </c>
      <c r="I36" s="1" t="s">
        <v>122</v>
      </c>
      <c r="J36" s="1" t="s">
        <v>20</v>
      </c>
      <c r="K36" s="1" t="s">
        <v>21</v>
      </c>
      <c r="L36" s="1">
        <v>25</v>
      </c>
      <c r="M36" s="1" t="s">
        <v>123</v>
      </c>
    </row>
    <row r="37" spans="1:13" ht="12.5" x14ac:dyDescent="0.25">
      <c r="A37" s="2">
        <v>45420.626829062501</v>
      </c>
      <c r="B37" s="1" t="s">
        <v>71</v>
      </c>
      <c r="C37" s="1" t="s">
        <v>22</v>
      </c>
      <c r="D37" s="1" t="s">
        <v>22</v>
      </c>
      <c r="E37" s="1" t="s">
        <v>22</v>
      </c>
      <c r="F37" s="1" t="s">
        <v>16</v>
      </c>
      <c r="G37" s="1" t="s">
        <v>124</v>
      </c>
      <c r="H37" s="1" t="s">
        <v>100</v>
      </c>
      <c r="I37" s="1" t="s">
        <v>125</v>
      </c>
      <c r="J37" s="1" t="s">
        <v>126</v>
      </c>
      <c r="K37" s="1" t="s">
        <v>21</v>
      </c>
      <c r="L37" s="1">
        <v>24</v>
      </c>
      <c r="M37" s="1" t="s">
        <v>127</v>
      </c>
    </row>
    <row r="38" spans="1:13" ht="12.5" x14ac:dyDescent="0.25">
      <c r="A38" s="2">
        <v>45420.646875104168</v>
      </c>
      <c r="B38" s="1" t="s">
        <v>89</v>
      </c>
      <c r="C38" s="1" t="s">
        <v>15</v>
      </c>
      <c r="D38" s="1" t="s">
        <v>15</v>
      </c>
      <c r="E38" s="1" t="s">
        <v>15</v>
      </c>
      <c r="F38" s="1" t="s">
        <v>16</v>
      </c>
      <c r="G38" s="1" t="s">
        <v>128</v>
      </c>
      <c r="H38" s="1" t="s">
        <v>100</v>
      </c>
      <c r="I38" s="1" t="s">
        <v>129</v>
      </c>
      <c r="J38" s="1" t="s">
        <v>130</v>
      </c>
      <c r="K38" s="1" t="s">
        <v>21</v>
      </c>
      <c r="L38" s="1">
        <v>23</v>
      </c>
      <c r="M38" s="1" t="s">
        <v>131</v>
      </c>
    </row>
    <row r="39" spans="1:13" ht="12.5" x14ac:dyDescent="0.25">
      <c r="A39" s="2">
        <v>45421.393291493056</v>
      </c>
      <c r="B39" s="1" t="s">
        <v>132</v>
      </c>
      <c r="C39" s="1" t="s">
        <v>14</v>
      </c>
      <c r="D39" s="1" t="s">
        <v>14</v>
      </c>
      <c r="E39" s="1" t="s">
        <v>14</v>
      </c>
      <c r="F39" s="1" t="s">
        <v>16</v>
      </c>
      <c r="G39" s="1" t="s">
        <v>133</v>
      </c>
      <c r="H39" s="1" t="s">
        <v>100</v>
      </c>
      <c r="I39" s="1" t="s">
        <v>134</v>
      </c>
      <c r="J39" s="1" t="s">
        <v>135</v>
      </c>
      <c r="K39" s="1" t="s">
        <v>21</v>
      </c>
      <c r="L39" s="1">
        <v>21</v>
      </c>
      <c r="M39" s="1" t="s">
        <v>136</v>
      </c>
    </row>
    <row r="40" spans="1:13" ht="12.5" x14ac:dyDescent="0.25">
      <c r="A40" s="2">
        <v>45422.34978506944</v>
      </c>
      <c r="B40" s="1" t="s">
        <v>137</v>
      </c>
      <c r="C40" s="1" t="s">
        <v>41</v>
      </c>
      <c r="D40" s="1" t="s">
        <v>41</v>
      </c>
      <c r="E40" s="1" t="s">
        <v>41</v>
      </c>
      <c r="F40" s="1" t="s">
        <v>16</v>
      </c>
      <c r="G40" s="1" t="s">
        <v>138</v>
      </c>
      <c r="H40" s="1" t="s">
        <v>100</v>
      </c>
      <c r="I40" s="1" t="s">
        <v>139</v>
      </c>
      <c r="J40" s="1" t="s">
        <v>135</v>
      </c>
      <c r="K40" s="1" t="s">
        <v>21</v>
      </c>
      <c r="L40" s="1">
        <v>22</v>
      </c>
      <c r="M40" s="1" t="s">
        <v>103</v>
      </c>
    </row>
    <row r="41" spans="1:13" ht="12.5" x14ac:dyDescent="0.25">
      <c r="A41" s="2">
        <v>45423.397799942133</v>
      </c>
      <c r="B41" s="1" t="s">
        <v>25</v>
      </c>
      <c r="C41" s="1" t="s">
        <v>15</v>
      </c>
      <c r="D41" s="1" t="s">
        <v>14</v>
      </c>
      <c r="E41" s="1" t="s">
        <v>15</v>
      </c>
      <c r="F41" s="1" t="s">
        <v>16</v>
      </c>
      <c r="G41" s="1" t="s">
        <v>140</v>
      </c>
      <c r="H41" s="1" t="s">
        <v>100</v>
      </c>
      <c r="I41" s="1" t="s">
        <v>141</v>
      </c>
      <c r="J41" s="1" t="s">
        <v>142</v>
      </c>
      <c r="K41" s="1" t="s">
        <v>21</v>
      </c>
      <c r="L41" s="1">
        <v>22</v>
      </c>
      <c r="M41" s="1" t="s">
        <v>131</v>
      </c>
    </row>
    <row r="42" spans="1:13" ht="12.5" x14ac:dyDescent="0.25">
      <c r="A42" s="2">
        <v>45441.297203946757</v>
      </c>
      <c r="B42" s="1" t="s">
        <v>143</v>
      </c>
      <c r="C42" s="1" t="s">
        <v>15</v>
      </c>
      <c r="D42" s="1" t="s">
        <v>15</v>
      </c>
      <c r="E42" s="1" t="s">
        <v>15</v>
      </c>
      <c r="F42" s="1" t="s">
        <v>16</v>
      </c>
      <c r="G42" s="1" t="s">
        <v>144</v>
      </c>
      <c r="H42" s="1" t="s">
        <v>100</v>
      </c>
      <c r="I42" s="1" t="s">
        <v>145</v>
      </c>
      <c r="J42" s="1" t="s">
        <v>106</v>
      </c>
      <c r="K42" s="1" t="s">
        <v>34</v>
      </c>
      <c r="L42" s="1">
        <v>27</v>
      </c>
      <c r="M42" s="1" t="s">
        <v>146</v>
      </c>
    </row>
    <row r="43" spans="1:13" ht="12.5" x14ac:dyDescent="0.25">
      <c r="A43" s="2">
        <v>45443.123212442129</v>
      </c>
      <c r="B43" s="1" t="s">
        <v>147</v>
      </c>
      <c r="C43" s="1" t="s">
        <v>22</v>
      </c>
      <c r="D43" s="1" t="s">
        <v>15</v>
      </c>
      <c r="E43" s="1" t="s">
        <v>15</v>
      </c>
      <c r="F43" s="1" t="s">
        <v>16</v>
      </c>
      <c r="G43" s="1" t="s">
        <v>148</v>
      </c>
      <c r="H43" s="1" t="s">
        <v>100</v>
      </c>
      <c r="I43" s="1" t="s">
        <v>149</v>
      </c>
      <c r="J43" s="1" t="s">
        <v>20</v>
      </c>
      <c r="K43" s="1" t="s">
        <v>21</v>
      </c>
      <c r="L43" s="1">
        <v>22</v>
      </c>
      <c r="M43" s="1" t="s">
        <v>136</v>
      </c>
    </row>
    <row r="44" spans="1:13" ht="12.5" x14ac:dyDescent="0.25">
      <c r="A44" s="2">
        <v>45443.147571828704</v>
      </c>
      <c r="B44" s="1" t="s">
        <v>150</v>
      </c>
      <c r="C44" s="1" t="s">
        <v>90</v>
      </c>
      <c r="D44" s="1" t="s">
        <v>90</v>
      </c>
      <c r="E44" s="1" t="s">
        <v>90</v>
      </c>
      <c r="F44" s="1" t="s">
        <v>16</v>
      </c>
      <c r="G44" s="1" t="s">
        <v>151</v>
      </c>
      <c r="H44" s="1" t="s">
        <v>100</v>
      </c>
      <c r="I44" s="1" t="s">
        <v>152</v>
      </c>
      <c r="J44" s="1" t="s">
        <v>142</v>
      </c>
      <c r="K44" s="1" t="s">
        <v>21</v>
      </c>
      <c r="L44" s="1">
        <v>25</v>
      </c>
      <c r="M44" s="1" t="s">
        <v>153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60FB0-AC09-444A-B2A8-696B08E50A5F}">
  <dimension ref="A1:Z42"/>
  <sheetViews>
    <sheetView workbookViewId="0">
      <selection activeCell="B17" sqref="B17"/>
    </sheetView>
  </sheetViews>
  <sheetFormatPr defaultRowHeight="12.5" x14ac:dyDescent="0.25"/>
  <cols>
    <col min="1" max="26" width="18.90625" customWidth="1"/>
  </cols>
  <sheetData>
    <row r="1" spans="1:26" ht="13" x14ac:dyDescent="0.3">
      <c r="A1" s="1" t="s">
        <v>0</v>
      </c>
      <c r="B1" s="1" t="s">
        <v>154</v>
      </c>
      <c r="C1" s="1" t="s">
        <v>155</v>
      </c>
      <c r="D1" s="1" t="s">
        <v>156</v>
      </c>
      <c r="E1" s="1" t="s">
        <v>157</v>
      </c>
      <c r="F1" s="1" t="s">
        <v>158</v>
      </c>
      <c r="G1" s="1" t="s">
        <v>159</v>
      </c>
      <c r="H1" s="1" t="s">
        <v>160</v>
      </c>
      <c r="I1" s="1" t="s">
        <v>161</v>
      </c>
      <c r="J1" s="1" t="s">
        <v>162</v>
      </c>
      <c r="K1" s="1" t="s">
        <v>163</v>
      </c>
      <c r="L1" s="1" t="s">
        <v>164</v>
      </c>
      <c r="M1" s="1" t="s">
        <v>165</v>
      </c>
      <c r="N1" s="1" t="s">
        <v>166</v>
      </c>
      <c r="O1" s="1" t="s">
        <v>167</v>
      </c>
      <c r="P1" s="1" t="s">
        <v>159</v>
      </c>
      <c r="Q1" s="1" t="s">
        <v>168</v>
      </c>
      <c r="R1" s="1" t="s">
        <v>169</v>
      </c>
      <c r="S1" s="1" t="s">
        <v>170</v>
      </c>
      <c r="T1" s="1" t="s">
        <v>171</v>
      </c>
      <c r="U1" s="1" t="s">
        <v>159</v>
      </c>
      <c r="V1" s="1" t="s">
        <v>7</v>
      </c>
      <c r="W1" s="1" t="s">
        <v>172</v>
      </c>
      <c r="X1" s="1" t="s">
        <v>173</v>
      </c>
      <c r="Y1" s="1" t="s">
        <v>10</v>
      </c>
      <c r="Z1" s="1" t="s">
        <v>11</v>
      </c>
    </row>
    <row r="2" spans="1:26" x14ac:dyDescent="0.25">
      <c r="A2" s="2">
        <v>45531.339233333332</v>
      </c>
      <c r="B2" s="1" t="s">
        <v>174</v>
      </c>
      <c r="C2" s="1" t="s">
        <v>175</v>
      </c>
      <c r="D2" s="1" t="s">
        <v>176</v>
      </c>
      <c r="E2" s="1" t="s">
        <v>177</v>
      </c>
      <c r="F2" s="1" t="s">
        <v>178</v>
      </c>
      <c r="G2" s="1" t="s">
        <v>179</v>
      </c>
      <c r="H2" s="1" t="s">
        <v>180</v>
      </c>
      <c r="I2" s="1" t="s">
        <v>181</v>
      </c>
      <c r="K2" s="1" t="s">
        <v>90</v>
      </c>
      <c r="L2" s="1" t="s">
        <v>90</v>
      </c>
      <c r="M2" s="1" t="s">
        <v>90</v>
      </c>
      <c r="N2" s="1" t="s">
        <v>16</v>
      </c>
      <c r="O2" s="1" t="s">
        <v>182</v>
      </c>
      <c r="P2" s="1" t="s">
        <v>183</v>
      </c>
      <c r="Q2" s="1" t="s">
        <v>184</v>
      </c>
      <c r="R2" s="1" t="s">
        <v>185</v>
      </c>
      <c r="S2" s="1" t="s">
        <v>186</v>
      </c>
      <c r="T2" s="1">
        <v>10</v>
      </c>
      <c r="U2" s="1" t="s">
        <v>187</v>
      </c>
      <c r="V2" s="1" t="s">
        <v>18</v>
      </c>
      <c r="W2" s="1" t="s">
        <v>101</v>
      </c>
      <c r="X2" s="1" t="s">
        <v>188</v>
      </c>
      <c r="Y2" s="1" t="s">
        <v>21</v>
      </c>
      <c r="Z2" s="1">
        <v>25</v>
      </c>
    </row>
    <row r="3" spans="1:26" x14ac:dyDescent="0.25">
      <c r="A3" s="2">
        <v>45531.494029409718</v>
      </c>
      <c r="B3" s="1" t="s">
        <v>189</v>
      </c>
      <c r="C3" s="1" t="s">
        <v>190</v>
      </c>
      <c r="D3" s="1" t="s">
        <v>191</v>
      </c>
      <c r="E3" s="1" t="s">
        <v>177</v>
      </c>
      <c r="F3" s="1" t="s">
        <v>178</v>
      </c>
      <c r="G3" s="1" t="s">
        <v>192</v>
      </c>
      <c r="H3" s="1" t="s">
        <v>193</v>
      </c>
      <c r="I3" s="1" t="s">
        <v>177</v>
      </c>
      <c r="J3" s="1" t="s">
        <v>194</v>
      </c>
      <c r="K3" s="1" t="s">
        <v>90</v>
      </c>
      <c r="L3" s="1" t="s">
        <v>90</v>
      </c>
      <c r="M3" s="1" t="s">
        <v>90</v>
      </c>
      <c r="N3" s="1" t="s">
        <v>16</v>
      </c>
      <c r="O3" s="1" t="s">
        <v>195</v>
      </c>
      <c r="P3" s="1" t="s">
        <v>196</v>
      </c>
      <c r="Q3" s="1" t="s">
        <v>197</v>
      </c>
      <c r="R3" s="1" t="s">
        <v>198</v>
      </c>
      <c r="S3" s="1" t="s">
        <v>199</v>
      </c>
      <c r="T3" s="1">
        <v>10</v>
      </c>
      <c r="U3" s="1" t="s">
        <v>200</v>
      </c>
      <c r="V3" s="1" t="s">
        <v>100</v>
      </c>
      <c r="W3" s="1" t="s">
        <v>201</v>
      </c>
      <c r="X3" s="1" t="s">
        <v>135</v>
      </c>
      <c r="Y3" s="1" t="s">
        <v>21</v>
      </c>
      <c r="Z3" s="1">
        <v>22</v>
      </c>
    </row>
    <row r="4" spans="1:26" x14ac:dyDescent="0.25">
      <c r="A4" s="2">
        <v>45531.571189803246</v>
      </c>
      <c r="B4" s="1" t="s">
        <v>202</v>
      </c>
      <c r="C4" s="1" t="s">
        <v>203</v>
      </c>
      <c r="D4" s="1" t="s">
        <v>204</v>
      </c>
      <c r="E4" s="1" t="s">
        <v>177</v>
      </c>
      <c r="F4" s="1" t="s">
        <v>178</v>
      </c>
      <c r="G4" s="1" t="s">
        <v>205</v>
      </c>
      <c r="H4" s="1" t="s">
        <v>206</v>
      </c>
      <c r="I4" s="1" t="s">
        <v>181</v>
      </c>
      <c r="K4" s="1" t="s">
        <v>90</v>
      </c>
      <c r="L4" s="1" t="s">
        <v>22</v>
      </c>
      <c r="M4" s="1" t="s">
        <v>90</v>
      </c>
      <c r="N4" s="1" t="s">
        <v>16</v>
      </c>
      <c r="O4" s="1" t="s">
        <v>207</v>
      </c>
      <c r="P4" s="1" t="s">
        <v>208</v>
      </c>
      <c r="Q4" s="1" t="s">
        <v>209</v>
      </c>
      <c r="R4" s="1" t="s">
        <v>210</v>
      </c>
      <c r="S4" s="1" t="s">
        <v>211</v>
      </c>
      <c r="T4" s="1">
        <v>10</v>
      </c>
      <c r="U4" s="1" t="s">
        <v>212</v>
      </c>
      <c r="V4" s="1" t="s">
        <v>100</v>
      </c>
      <c r="W4" s="1" t="s">
        <v>101</v>
      </c>
      <c r="X4" s="1" t="s">
        <v>135</v>
      </c>
      <c r="Y4" s="1" t="s">
        <v>21</v>
      </c>
      <c r="Z4" s="1">
        <v>23</v>
      </c>
    </row>
    <row r="5" spans="1:26" x14ac:dyDescent="0.25">
      <c r="A5" s="2">
        <v>45531.57626987269</v>
      </c>
      <c r="B5" s="1" t="s">
        <v>213</v>
      </c>
      <c r="C5" s="1" t="s">
        <v>214</v>
      </c>
      <c r="D5" s="1" t="s">
        <v>215</v>
      </c>
      <c r="E5" s="1" t="s">
        <v>177</v>
      </c>
      <c r="F5" s="1" t="s">
        <v>178</v>
      </c>
      <c r="G5" s="1" t="s">
        <v>216</v>
      </c>
      <c r="H5" s="1" t="s">
        <v>217</v>
      </c>
      <c r="I5" s="1" t="s">
        <v>181</v>
      </c>
      <c r="J5" s="1" t="s">
        <v>218</v>
      </c>
      <c r="K5" s="1" t="s">
        <v>90</v>
      </c>
      <c r="L5" s="1" t="s">
        <v>22</v>
      </c>
      <c r="M5" s="1" t="s">
        <v>90</v>
      </c>
      <c r="N5" s="1" t="s">
        <v>16</v>
      </c>
      <c r="O5" s="1" t="s">
        <v>207</v>
      </c>
      <c r="P5" s="1" t="s">
        <v>219</v>
      </c>
      <c r="Q5" s="1" t="s">
        <v>220</v>
      </c>
      <c r="R5" s="1" t="s">
        <v>221</v>
      </c>
      <c r="S5" s="1" t="s">
        <v>222</v>
      </c>
      <c r="T5" s="1">
        <v>10</v>
      </c>
      <c r="U5" s="1" t="s">
        <v>223</v>
      </c>
      <c r="V5" s="1" t="s">
        <v>100</v>
      </c>
      <c r="W5" s="1" t="s">
        <v>101</v>
      </c>
      <c r="X5" s="1" t="s">
        <v>224</v>
      </c>
      <c r="Y5" s="1" t="s">
        <v>21</v>
      </c>
      <c r="Z5" s="1">
        <v>24</v>
      </c>
    </row>
    <row r="6" spans="1:26" x14ac:dyDescent="0.25">
      <c r="A6" s="2">
        <v>45531.600348993059</v>
      </c>
      <c r="B6" s="1" t="s">
        <v>202</v>
      </c>
      <c r="C6" s="1" t="s">
        <v>225</v>
      </c>
      <c r="D6" s="1" t="s">
        <v>226</v>
      </c>
      <c r="E6" s="1" t="s">
        <v>177</v>
      </c>
      <c r="F6" s="1" t="s">
        <v>178</v>
      </c>
      <c r="G6" s="1" t="s">
        <v>227</v>
      </c>
      <c r="H6" s="1" t="s">
        <v>228</v>
      </c>
      <c r="I6" s="1" t="s">
        <v>177</v>
      </c>
      <c r="J6" s="1" t="s">
        <v>229</v>
      </c>
      <c r="K6" s="1" t="s">
        <v>90</v>
      </c>
      <c r="L6" s="1" t="s">
        <v>90</v>
      </c>
      <c r="M6" s="1" t="s">
        <v>22</v>
      </c>
      <c r="N6" s="1" t="s">
        <v>16</v>
      </c>
      <c r="O6" s="1" t="s">
        <v>195</v>
      </c>
      <c r="P6" s="1" t="s">
        <v>230</v>
      </c>
      <c r="Q6" s="1" t="s">
        <v>231</v>
      </c>
      <c r="R6" s="1" t="s">
        <v>232</v>
      </c>
      <c r="S6" s="1" t="s">
        <v>233</v>
      </c>
      <c r="T6" s="1">
        <v>10</v>
      </c>
      <c r="U6" s="1" t="s">
        <v>234</v>
      </c>
      <c r="V6" s="1" t="s">
        <v>100</v>
      </c>
      <c r="W6" s="1" t="s">
        <v>235</v>
      </c>
      <c r="X6" s="1" t="s">
        <v>236</v>
      </c>
      <c r="Y6" s="1" t="s">
        <v>21</v>
      </c>
      <c r="Z6" s="1">
        <v>23</v>
      </c>
    </row>
    <row r="7" spans="1:26" x14ac:dyDescent="0.25">
      <c r="A7" s="2">
        <v>45531.612038333333</v>
      </c>
      <c r="B7" s="1" t="s">
        <v>202</v>
      </c>
      <c r="C7" s="1" t="s">
        <v>237</v>
      </c>
      <c r="D7" s="1" t="s">
        <v>238</v>
      </c>
      <c r="E7" s="1" t="s">
        <v>177</v>
      </c>
      <c r="F7" s="1" t="s">
        <v>178</v>
      </c>
      <c r="G7" s="1" t="s">
        <v>239</v>
      </c>
      <c r="H7" s="1" t="s">
        <v>181</v>
      </c>
      <c r="I7" s="1" t="s">
        <v>181</v>
      </c>
      <c r="K7" s="1" t="s">
        <v>90</v>
      </c>
      <c r="L7" s="1" t="s">
        <v>90</v>
      </c>
      <c r="M7" s="1" t="s">
        <v>90</v>
      </c>
      <c r="N7" s="1" t="s">
        <v>16</v>
      </c>
      <c r="O7" s="1" t="s">
        <v>207</v>
      </c>
      <c r="P7" s="1" t="s">
        <v>240</v>
      </c>
      <c r="Q7" s="1" t="s">
        <v>241</v>
      </c>
      <c r="R7" s="1" t="s">
        <v>181</v>
      </c>
      <c r="S7" s="1" t="s">
        <v>181</v>
      </c>
      <c r="T7" s="1">
        <v>10</v>
      </c>
      <c r="U7" s="1" t="s">
        <v>242</v>
      </c>
      <c r="V7" s="1" t="s">
        <v>100</v>
      </c>
      <c r="W7" s="1" t="s">
        <v>30</v>
      </c>
      <c r="X7" s="1" t="s">
        <v>243</v>
      </c>
      <c r="Y7" s="1" t="s">
        <v>21</v>
      </c>
      <c r="Z7" s="1">
        <v>24</v>
      </c>
    </row>
    <row r="8" spans="1:26" x14ac:dyDescent="0.25">
      <c r="A8" s="2">
        <v>45531.624334942127</v>
      </c>
      <c r="B8" s="1" t="s">
        <v>202</v>
      </c>
      <c r="C8" s="1" t="s">
        <v>244</v>
      </c>
      <c r="D8" s="1" t="s">
        <v>245</v>
      </c>
      <c r="E8" s="1" t="s">
        <v>177</v>
      </c>
      <c r="F8" s="1" t="s">
        <v>178</v>
      </c>
      <c r="G8" s="1" t="s">
        <v>246</v>
      </c>
      <c r="H8" s="1" t="s">
        <v>247</v>
      </c>
      <c r="I8" s="1" t="s">
        <v>181</v>
      </c>
      <c r="K8" s="1" t="s">
        <v>22</v>
      </c>
      <c r="L8" s="1" t="s">
        <v>22</v>
      </c>
      <c r="M8" s="1" t="s">
        <v>22</v>
      </c>
      <c r="N8" s="1" t="s">
        <v>16</v>
      </c>
      <c r="O8" s="1" t="s">
        <v>195</v>
      </c>
      <c r="P8" s="1" t="s">
        <v>248</v>
      </c>
      <c r="Q8" s="1" t="s">
        <v>249</v>
      </c>
      <c r="R8" s="1" t="s">
        <v>250</v>
      </c>
      <c r="S8" s="1" t="s">
        <v>251</v>
      </c>
      <c r="T8" s="1">
        <v>9</v>
      </c>
      <c r="U8" s="1" t="s">
        <v>252</v>
      </c>
      <c r="V8" s="1" t="s">
        <v>100</v>
      </c>
      <c r="W8" s="1" t="s">
        <v>46</v>
      </c>
      <c r="X8" s="1" t="s">
        <v>142</v>
      </c>
      <c r="Y8" s="1" t="s">
        <v>21</v>
      </c>
      <c r="Z8" s="1">
        <v>23</v>
      </c>
    </row>
    <row r="9" spans="1:26" x14ac:dyDescent="0.25">
      <c r="A9" s="2">
        <v>45531.633990844908</v>
      </c>
      <c r="B9" s="1" t="s">
        <v>202</v>
      </c>
      <c r="C9" s="1" t="s">
        <v>253</v>
      </c>
      <c r="D9" s="1" t="s">
        <v>254</v>
      </c>
      <c r="E9" s="1" t="s">
        <v>177</v>
      </c>
      <c r="F9" s="1" t="s">
        <v>178</v>
      </c>
      <c r="G9" s="1" t="s">
        <v>255</v>
      </c>
      <c r="H9" s="1" t="s">
        <v>256</v>
      </c>
      <c r="I9" s="1" t="s">
        <v>181</v>
      </c>
      <c r="K9" s="1" t="s">
        <v>90</v>
      </c>
      <c r="L9" s="1" t="s">
        <v>90</v>
      </c>
      <c r="M9" s="1" t="s">
        <v>90</v>
      </c>
      <c r="N9" s="1" t="s">
        <v>16</v>
      </c>
      <c r="O9" s="1" t="s">
        <v>207</v>
      </c>
      <c r="P9" s="1" t="s">
        <v>257</v>
      </c>
      <c r="Q9" s="1" t="s">
        <v>197</v>
      </c>
      <c r="R9" s="1" t="s">
        <v>258</v>
      </c>
      <c r="S9" s="1" t="s">
        <v>259</v>
      </c>
      <c r="T9" s="1">
        <v>10</v>
      </c>
      <c r="U9" s="1" t="s">
        <v>260</v>
      </c>
      <c r="V9" s="1" t="s">
        <v>100</v>
      </c>
      <c r="W9" s="1" t="s">
        <v>152</v>
      </c>
      <c r="X9" s="1" t="s">
        <v>142</v>
      </c>
      <c r="Y9" s="1" t="s">
        <v>21</v>
      </c>
      <c r="Z9" s="1">
        <v>24</v>
      </c>
    </row>
    <row r="10" spans="1:26" x14ac:dyDescent="0.25">
      <c r="A10" s="2">
        <v>45531.767837708336</v>
      </c>
      <c r="B10" s="1" t="s">
        <v>261</v>
      </c>
      <c r="C10" s="1" t="s">
        <v>262</v>
      </c>
      <c r="D10" s="1" t="s">
        <v>263</v>
      </c>
      <c r="E10" s="1" t="s">
        <v>177</v>
      </c>
      <c r="F10" s="1" t="s">
        <v>178</v>
      </c>
      <c r="G10" s="1" t="s">
        <v>264</v>
      </c>
      <c r="H10" s="1" t="s">
        <v>265</v>
      </c>
      <c r="I10" s="1" t="s">
        <v>181</v>
      </c>
      <c r="K10" s="1" t="s">
        <v>90</v>
      </c>
      <c r="L10" s="1" t="s">
        <v>90</v>
      </c>
      <c r="M10" s="1" t="s">
        <v>22</v>
      </c>
      <c r="N10" s="1" t="s">
        <v>16</v>
      </c>
      <c r="O10" s="1" t="s">
        <v>207</v>
      </c>
      <c r="P10" s="1" t="s">
        <v>266</v>
      </c>
      <c r="Q10" s="1" t="s">
        <v>267</v>
      </c>
      <c r="R10" s="1" t="s">
        <v>268</v>
      </c>
      <c r="S10" s="1" t="s">
        <v>269</v>
      </c>
      <c r="T10" s="1">
        <v>10</v>
      </c>
      <c r="U10" s="1" t="s">
        <v>270</v>
      </c>
      <c r="V10" s="1" t="s">
        <v>100</v>
      </c>
      <c r="W10" s="1" t="s">
        <v>122</v>
      </c>
      <c r="X10" s="1" t="s">
        <v>135</v>
      </c>
      <c r="Y10" s="1" t="s">
        <v>21</v>
      </c>
      <c r="Z10" s="1">
        <v>25</v>
      </c>
    </row>
    <row r="11" spans="1:26" x14ac:dyDescent="0.25">
      <c r="A11" s="2">
        <v>45532.738334131944</v>
      </c>
      <c r="B11" s="1" t="s">
        <v>202</v>
      </c>
      <c r="C11" s="1" t="s">
        <v>271</v>
      </c>
      <c r="D11" s="1" t="s">
        <v>272</v>
      </c>
      <c r="E11" s="1" t="s">
        <v>177</v>
      </c>
      <c r="F11" s="1" t="s">
        <v>178</v>
      </c>
      <c r="G11" s="1" t="s">
        <v>273</v>
      </c>
      <c r="H11" s="1" t="s">
        <v>274</v>
      </c>
      <c r="I11" s="1" t="s">
        <v>181</v>
      </c>
      <c r="K11" s="1" t="s">
        <v>22</v>
      </c>
      <c r="L11" s="1" t="s">
        <v>90</v>
      </c>
      <c r="M11" s="1" t="s">
        <v>90</v>
      </c>
      <c r="N11" s="1" t="s">
        <v>16</v>
      </c>
      <c r="O11" s="1" t="s">
        <v>195</v>
      </c>
      <c r="P11" s="1" t="s">
        <v>275</v>
      </c>
      <c r="Q11" s="1" t="s">
        <v>276</v>
      </c>
      <c r="R11" s="1" t="s">
        <v>277</v>
      </c>
      <c r="S11" s="1" t="s">
        <v>278</v>
      </c>
      <c r="T11" s="1">
        <v>9</v>
      </c>
      <c r="U11" s="1" t="s">
        <v>279</v>
      </c>
      <c r="V11" s="1" t="s">
        <v>100</v>
      </c>
      <c r="W11" s="1" t="s">
        <v>280</v>
      </c>
      <c r="X11" s="1" t="s">
        <v>281</v>
      </c>
      <c r="Y11" s="1" t="s">
        <v>21</v>
      </c>
      <c r="Z11" s="1">
        <v>24</v>
      </c>
    </row>
    <row r="12" spans="1:26" x14ac:dyDescent="0.25">
      <c r="A12" s="2">
        <v>45533.480352337967</v>
      </c>
      <c r="B12" s="1" t="s">
        <v>282</v>
      </c>
      <c r="C12" s="1" t="s">
        <v>283</v>
      </c>
      <c r="D12" s="1" t="s">
        <v>284</v>
      </c>
      <c r="E12" s="1" t="s">
        <v>177</v>
      </c>
      <c r="F12" s="1" t="s">
        <v>178</v>
      </c>
      <c r="G12" s="1" t="s">
        <v>285</v>
      </c>
      <c r="H12" s="1" t="s">
        <v>286</v>
      </c>
      <c r="I12" s="1" t="s">
        <v>181</v>
      </c>
      <c r="K12" s="1" t="s">
        <v>22</v>
      </c>
      <c r="L12" s="1" t="s">
        <v>22</v>
      </c>
      <c r="M12" s="1" t="s">
        <v>22</v>
      </c>
      <c r="N12" s="1" t="s">
        <v>16</v>
      </c>
      <c r="O12" s="1" t="s">
        <v>195</v>
      </c>
      <c r="P12" s="1" t="s">
        <v>287</v>
      </c>
      <c r="Q12" s="1" t="s">
        <v>197</v>
      </c>
      <c r="R12" s="1" t="s">
        <v>288</v>
      </c>
      <c r="S12" s="1" t="s">
        <v>289</v>
      </c>
      <c r="T12" s="1">
        <v>10</v>
      </c>
      <c r="U12" s="1" t="s">
        <v>290</v>
      </c>
      <c r="V12" s="1" t="s">
        <v>100</v>
      </c>
      <c r="W12" s="1" t="s">
        <v>291</v>
      </c>
      <c r="X12" s="1" t="s">
        <v>135</v>
      </c>
      <c r="Y12" s="1" t="s">
        <v>21</v>
      </c>
      <c r="Z12" s="1">
        <v>22</v>
      </c>
    </row>
    <row r="13" spans="1:26" x14ac:dyDescent="0.25">
      <c r="A13" s="2">
        <v>45535.228279606483</v>
      </c>
      <c r="B13" s="1" t="s">
        <v>202</v>
      </c>
      <c r="C13" s="1" t="s">
        <v>292</v>
      </c>
      <c r="D13" s="1" t="s">
        <v>293</v>
      </c>
      <c r="E13" s="1" t="s">
        <v>177</v>
      </c>
      <c r="F13" s="1" t="s">
        <v>294</v>
      </c>
      <c r="G13" s="1" t="s">
        <v>295</v>
      </c>
      <c r="H13" s="1" t="s">
        <v>296</v>
      </c>
      <c r="I13" s="1" t="s">
        <v>181</v>
      </c>
      <c r="K13" s="1" t="s">
        <v>90</v>
      </c>
      <c r="L13" s="1" t="s">
        <v>22</v>
      </c>
      <c r="M13" s="1" t="s">
        <v>22</v>
      </c>
      <c r="N13" s="1" t="s">
        <v>16</v>
      </c>
      <c r="O13" s="1" t="s">
        <v>207</v>
      </c>
      <c r="P13" s="1" t="s">
        <v>297</v>
      </c>
      <c r="Q13" s="1" t="s">
        <v>197</v>
      </c>
      <c r="R13" s="1" t="s">
        <v>298</v>
      </c>
      <c r="S13" s="1" t="s">
        <v>299</v>
      </c>
      <c r="T13" s="1">
        <v>9</v>
      </c>
      <c r="U13" s="1" t="s">
        <v>300</v>
      </c>
      <c r="V13" s="1" t="s">
        <v>100</v>
      </c>
      <c r="W13" s="1" t="s">
        <v>301</v>
      </c>
      <c r="X13" s="1" t="s">
        <v>302</v>
      </c>
      <c r="Y13" s="1" t="s">
        <v>21</v>
      </c>
      <c r="Z13" s="1">
        <v>22</v>
      </c>
    </row>
    <row r="14" spans="1:26" x14ac:dyDescent="0.25">
      <c r="A14" s="2">
        <v>45547.254925613423</v>
      </c>
      <c r="B14" s="1" t="s">
        <v>202</v>
      </c>
      <c r="C14" s="1" t="s">
        <v>303</v>
      </c>
      <c r="D14" s="1" t="s">
        <v>304</v>
      </c>
      <c r="E14" s="1" t="s">
        <v>177</v>
      </c>
      <c r="F14" s="1" t="s">
        <v>178</v>
      </c>
      <c r="G14" s="1" t="s">
        <v>305</v>
      </c>
      <c r="H14" s="1" t="s">
        <v>306</v>
      </c>
      <c r="I14" s="1" t="s">
        <v>181</v>
      </c>
      <c r="K14" s="1" t="s">
        <v>22</v>
      </c>
      <c r="L14" s="1" t="s">
        <v>22</v>
      </c>
      <c r="M14" s="1" t="s">
        <v>90</v>
      </c>
      <c r="N14" s="1" t="s">
        <v>16</v>
      </c>
      <c r="O14" s="1" t="s">
        <v>207</v>
      </c>
      <c r="P14" s="1" t="s">
        <v>307</v>
      </c>
      <c r="Q14" s="1" t="s">
        <v>308</v>
      </c>
      <c r="R14" s="1" t="s">
        <v>309</v>
      </c>
      <c r="S14" s="1" t="s">
        <v>310</v>
      </c>
      <c r="T14" s="1">
        <v>10</v>
      </c>
      <c r="U14" s="1" t="s">
        <v>311</v>
      </c>
      <c r="V14" s="1" t="s">
        <v>18</v>
      </c>
      <c r="W14" s="1" t="s">
        <v>312</v>
      </c>
      <c r="X14" s="1" t="s">
        <v>60</v>
      </c>
      <c r="Y14" s="1" t="s">
        <v>21</v>
      </c>
      <c r="Z14" s="1">
        <v>24</v>
      </c>
    </row>
    <row r="15" spans="1:26" x14ac:dyDescent="0.25">
      <c r="A15" s="2">
        <v>45547.259866435183</v>
      </c>
      <c r="B15" s="1" t="s">
        <v>202</v>
      </c>
      <c r="C15" s="1" t="s">
        <v>313</v>
      </c>
      <c r="D15" s="1" t="s">
        <v>314</v>
      </c>
      <c r="E15" s="1" t="s">
        <v>177</v>
      </c>
      <c r="F15" s="1" t="s">
        <v>178</v>
      </c>
      <c r="G15" s="1" t="s">
        <v>315</v>
      </c>
      <c r="I15" s="1" t="s">
        <v>177</v>
      </c>
      <c r="J15" s="1" t="s">
        <v>316</v>
      </c>
      <c r="K15" s="1" t="s">
        <v>22</v>
      </c>
      <c r="L15" s="1" t="s">
        <v>90</v>
      </c>
      <c r="M15" s="1" t="s">
        <v>90</v>
      </c>
      <c r="N15" s="1" t="s">
        <v>16</v>
      </c>
      <c r="O15" s="1" t="s">
        <v>207</v>
      </c>
      <c r="P15" s="1" t="s">
        <v>317</v>
      </c>
      <c r="Q15" s="1" t="s">
        <v>308</v>
      </c>
      <c r="R15" s="1" t="s">
        <v>318</v>
      </c>
      <c r="S15" s="1" t="s">
        <v>319</v>
      </c>
      <c r="T15" s="1">
        <v>9</v>
      </c>
      <c r="U15" s="1" t="s">
        <v>320</v>
      </c>
      <c r="V15" s="1" t="s">
        <v>18</v>
      </c>
      <c r="W15" s="1" t="s">
        <v>321</v>
      </c>
      <c r="X15" s="1" t="s">
        <v>20</v>
      </c>
      <c r="Y15" s="1" t="s">
        <v>34</v>
      </c>
      <c r="Z15" s="1">
        <v>22</v>
      </c>
    </row>
    <row r="16" spans="1:26" x14ac:dyDescent="0.25">
      <c r="A16" s="2">
        <v>45547.266106597221</v>
      </c>
      <c r="B16" s="1" t="s">
        <v>202</v>
      </c>
      <c r="C16" s="1" t="s">
        <v>322</v>
      </c>
      <c r="D16" s="1" t="s">
        <v>323</v>
      </c>
      <c r="E16" s="1" t="s">
        <v>177</v>
      </c>
      <c r="F16" s="1" t="s">
        <v>324</v>
      </c>
      <c r="G16" s="1" t="s">
        <v>325</v>
      </c>
      <c r="H16" s="1" t="s">
        <v>326</v>
      </c>
      <c r="I16" s="1" t="s">
        <v>181</v>
      </c>
      <c r="K16" s="1" t="s">
        <v>90</v>
      </c>
      <c r="L16" s="1" t="s">
        <v>90</v>
      </c>
      <c r="M16" s="1" t="s">
        <v>90</v>
      </c>
      <c r="N16" s="1" t="s">
        <v>16</v>
      </c>
      <c r="O16" s="1" t="s">
        <v>182</v>
      </c>
      <c r="P16" s="1" t="s">
        <v>327</v>
      </c>
      <c r="Q16" s="1" t="s">
        <v>328</v>
      </c>
      <c r="R16" s="1" t="s">
        <v>329</v>
      </c>
      <c r="S16" s="1" t="s">
        <v>330</v>
      </c>
      <c r="T16" s="1">
        <v>10</v>
      </c>
      <c r="U16" s="1" t="s">
        <v>331</v>
      </c>
      <c r="V16" s="1" t="s">
        <v>18</v>
      </c>
      <c r="W16" s="1" t="s">
        <v>332</v>
      </c>
      <c r="X16" s="1" t="s">
        <v>20</v>
      </c>
      <c r="Y16" s="1" t="s">
        <v>21</v>
      </c>
      <c r="Z16" s="1">
        <v>22</v>
      </c>
    </row>
    <row r="17" spans="1:26" x14ac:dyDescent="0.25">
      <c r="A17" s="2">
        <v>45547.266702465276</v>
      </c>
      <c r="B17" s="1" t="s">
        <v>333</v>
      </c>
      <c r="C17" s="1" t="s">
        <v>334</v>
      </c>
      <c r="D17" s="1" t="s">
        <v>335</v>
      </c>
      <c r="E17" s="1" t="s">
        <v>177</v>
      </c>
      <c r="F17" s="1" t="s">
        <v>178</v>
      </c>
      <c r="G17" s="1" t="s">
        <v>336</v>
      </c>
      <c r="H17" s="1" t="s">
        <v>337</v>
      </c>
      <c r="I17" s="1" t="s">
        <v>181</v>
      </c>
      <c r="K17" s="1" t="s">
        <v>90</v>
      </c>
      <c r="L17" s="1" t="s">
        <v>22</v>
      </c>
      <c r="M17" s="1" t="s">
        <v>90</v>
      </c>
      <c r="N17" s="1" t="s">
        <v>16</v>
      </c>
      <c r="O17" s="1" t="s">
        <v>195</v>
      </c>
      <c r="P17" s="1" t="s">
        <v>338</v>
      </c>
      <c r="Q17" s="1" t="s">
        <v>328</v>
      </c>
      <c r="R17" s="1" t="s">
        <v>339</v>
      </c>
      <c r="S17" s="1" t="s">
        <v>340</v>
      </c>
      <c r="T17" s="1">
        <v>10</v>
      </c>
      <c r="U17" s="1" t="s">
        <v>341</v>
      </c>
      <c r="V17" s="1" t="s">
        <v>18</v>
      </c>
      <c r="W17" s="1" t="s">
        <v>342</v>
      </c>
      <c r="X17" s="1" t="s">
        <v>135</v>
      </c>
      <c r="Y17" s="1" t="s">
        <v>34</v>
      </c>
      <c r="Z17" s="1">
        <v>20</v>
      </c>
    </row>
    <row r="18" spans="1:26" x14ac:dyDescent="0.25">
      <c r="A18" s="2">
        <v>45547.283922719907</v>
      </c>
      <c r="B18" s="1" t="s">
        <v>202</v>
      </c>
      <c r="C18" s="1" t="s">
        <v>343</v>
      </c>
      <c r="D18" s="1" t="s">
        <v>344</v>
      </c>
      <c r="E18" s="1" t="s">
        <v>177</v>
      </c>
      <c r="F18" s="1" t="s">
        <v>178</v>
      </c>
      <c r="G18" s="1" t="s">
        <v>345</v>
      </c>
      <c r="H18" s="1" t="s">
        <v>346</v>
      </c>
      <c r="I18" s="1" t="s">
        <v>181</v>
      </c>
      <c r="K18" s="1" t="s">
        <v>90</v>
      </c>
      <c r="L18" s="1" t="s">
        <v>90</v>
      </c>
      <c r="M18" s="1" t="s">
        <v>90</v>
      </c>
      <c r="N18" s="1" t="s">
        <v>16</v>
      </c>
      <c r="O18" s="1" t="s">
        <v>207</v>
      </c>
      <c r="P18" s="1" t="s">
        <v>347</v>
      </c>
      <c r="Q18" s="1" t="s">
        <v>197</v>
      </c>
      <c r="R18" s="1" t="s">
        <v>348</v>
      </c>
      <c r="S18" s="1" t="s">
        <v>349</v>
      </c>
      <c r="T18" s="1">
        <v>10</v>
      </c>
      <c r="U18" s="1" t="s">
        <v>350</v>
      </c>
      <c r="V18" s="1" t="s">
        <v>18</v>
      </c>
      <c r="W18" s="1" t="s">
        <v>351</v>
      </c>
      <c r="X18" s="1" t="s">
        <v>20</v>
      </c>
      <c r="Y18" s="1" t="s">
        <v>21</v>
      </c>
      <c r="Z18" s="1">
        <v>22</v>
      </c>
    </row>
    <row r="19" spans="1:26" x14ac:dyDescent="0.25">
      <c r="A19" s="2">
        <v>45547.285132835648</v>
      </c>
      <c r="B19" s="1" t="s">
        <v>202</v>
      </c>
      <c r="C19" s="1" t="s">
        <v>352</v>
      </c>
      <c r="D19" s="1" t="s">
        <v>353</v>
      </c>
      <c r="E19" s="1" t="s">
        <v>177</v>
      </c>
      <c r="F19" s="1" t="s">
        <v>178</v>
      </c>
      <c r="G19" s="1" t="s">
        <v>354</v>
      </c>
      <c r="H19" s="1" t="s">
        <v>355</v>
      </c>
      <c r="I19" s="1" t="s">
        <v>177</v>
      </c>
      <c r="J19" s="1" t="s">
        <v>356</v>
      </c>
      <c r="K19" s="1" t="s">
        <v>22</v>
      </c>
      <c r="L19" s="1" t="s">
        <v>22</v>
      </c>
      <c r="M19" s="1" t="s">
        <v>22</v>
      </c>
      <c r="N19" s="1" t="s">
        <v>16</v>
      </c>
      <c r="O19" s="1" t="s">
        <v>182</v>
      </c>
      <c r="P19" s="1" t="s">
        <v>357</v>
      </c>
      <c r="Q19" s="1" t="s">
        <v>358</v>
      </c>
      <c r="R19" s="1" t="s">
        <v>359</v>
      </c>
      <c r="S19" s="1" t="s">
        <v>360</v>
      </c>
      <c r="T19" s="1">
        <v>10</v>
      </c>
      <c r="U19" s="1" t="s">
        <v>361</v>
      </c>
      <c r="V19" s="1" t="s">
        <v>18</v>
      </c>
      <c r="W19" s="1" t="s">
        <v>79</v>
      </c>
      <c r="X19" s="1" t="s">
        <v>135</v>
      </c>
      <c r="Y19" s="1" t="s">
        <v>34</v>
      </c>
      <c r="Z19" s="1">
        <v>23</v>
      </c>
    </row>
    <row r="20" spans="1:26" x14ac:dyDescent="0.25">
      <c r="A20" s="2">
        <v>45547.286207488425</v>
      </c>
      <c r="B20" s="1" t="s">
        <v>362</v>
      </c>
      <c r="C20" s="1" t="s">
        <v>363</v>
      </c>
      <c r="D20" s="1" t="s">
        <v>364</v>
      </c>
      <c r="E20" s="1" t="s">
        <v>177</v>
      </c>
      <c r="F20" s="1" t="s">
        <v>178</v>
      </c>
      <c r="G20" s="1" t="s">
        <v>365</v>
      </c>
      <c r="I20" s="1" t="s">
        <v>181</v>
      </c>
      <c r="K20" s="1" t="s">
        <v>90</v>
      </c>
      <c r="L20" s="1" t="s">
        <v>90</v>
      </c>
      <c r="M20" s="1" t="s">
        <v>90</v>
      </c>
      <c r="N20" s="1" t="s">
        <v>16</v>
      </c>
      <c r="O20" s="1" t="s">
        <v>182</v>
      </c>
      <c r="P20" s="1" t="s">
        <v>366</v>
      </c>
      <c r="Q20" s="1" t="s">
        <v>308</v>
      </c>
      <c r="R20" s="1" t="s">
        <v>367</v>
      </c>
      <c r="S20" s="1" t="s">
        <v>364</v>
      </c>
      <c r="T20" s="1">
        <v>10</v>
      </c>
      <c r="U20" s="1" t="s">
        <v>368</v>
      </c>
      <c r="V20" s="1" t="s">
        <v>18</v>
      </c>
      <c r="W20" s="1" t="s">
        <v>369</v>
      </c>
      <c r="X20" s="1" t="s">
        <v>20</v>
      </c>
      <c r="Y20" s="1" t="s">
        <v>21</v>
      </c>
      <c r="Z20" s="1">
        <v>22</v>
      </c>
    </row>
    <row r="21" spans="1:26" x14ac:dyDescent="0.25">
      <c r="A21" s="2">
        <v>45547.312215138889</v>
      </c>
      <c r="B21" s="1" t="s">
        <v>202</v>
      </c>
      <c r="C21" s="1" t="s">
        <v>370</v>
      </c>
      <c r="D21" s="1" t="s">
        <v>371</v>
      </c>
      <c r="E21" s="1" t="s">
        <v>177</v>
      </c>
      <c r="F21" s="1" t="s">
        <v>178</v>
      </c>
      <c r="G21" s="1" t="s">
        <v>372</v>
      </c>
      <c r="H21" s="1" t="s">
        <v>373</v>
      </c>
      <c r="I21" s="1" t="s">
        <v>181</v>
      </c>
      <c r="J21" s="1" t="s">
        <v>374</v>
      </c>
      <c r="K21" s="1" t="s">
        <v>90</v>
      </c>
      <c r="L21" s="1" t="s">
        <v>90</v>
      </c>
      <c r="M21" s="1" t="s">
        <v>90</v>
      </c>
      <c r="N21" s="1" t="s">
        <v>16</v>
      </c>
      <c r="O21" s="1" t="s">
        <v>195</v>
      </c>
      <c r="P21" s="1" t="s">
        <v>375</v>
      </c>
      <c r="Q21" s="1" t="s">
        <v>376</v>
      </c>
      <c r="R21" s="1" t="s">
        <v>377</v>
      </c>
      <c r="S21" s="1" t="s">
        <v>378</v>
      </c>
      <c r="T21" s="1">
        <v>10</v>
      </c>
      <c r="U21" s="1" t="s">
        <v>379</v>
      </c>
      <c r="V21" s="1" t="s">
        <v>18</v>
      </c>
      <c r="W21" s="1" t="s">
        <v>380</v>
      </c>
      <c r="X21" s="1" t="s">
        <v>20</v>
      </c>
      <c r="Y21" s="1" t="s">
        <v>34</v>
      </c>
      <c r="Z21" s="1">
        <v>23</v>
      </c>
    </row>
    <row r="22" spans="1:26" x14ac:dyDescent="0.25">
      <c r="A22" s="2">
        <v>45547.341154756941</v>
      </c>
      <c r="B22" s="1" t="s">
        <v>202</v>
      </c>
      <c r="C22" s="1" t="s">
        <v>381</v>
      </c>
      <c r="D22" s="1" t="s">
        <v>382</v>
      </c>
      <c r="E22" s="1" t="s">
        <v>177</v>
      </c>
      <c r="F22" s="1" t="s">
        <v>178</v>
      </c>
      <c r="G22" s="1" t="s">
        <v>383</v>
      </c>
      <c r="H22" s="1" t="s">
        <v>384</v>
      </c>
      <c r="I22" s="1" t="s">
        <v>177</v>
      </c>
      <c r="J22" s="1" t="s">
        <v>385</v>
      </c>
      <c r="K22" s="1" t="s">
        <v>90</v>
      </c>
      <c r="L22" s="1" t="s">
        <v>90</v>
      </c>
      <c r="M22" s="1" t="s">
        <v>90</v>
      </c>
      <c r="N22" s="1" t="s">
        <v>16</v>
      </c>
      <c r="O22" s="1" t="s">
        <v>207</v>
      </c>
      <c r="P22" s="1" t="s">
        <v>386</v>
      </c>
      <c r="Q22" s="1" t="s">
        <v>197</v>
      </c>
      <c r="R22" s="1" t="s">
        <v>387</v>
      </c>
      <c r="S22" s="1" t="s">
        <v>388</v>
      </c>
      <c r="T22" s="1">
        <v>10</v>
      </c>
      <c r="U22" s="1" t="s">
        <v>389</v>
      </c>
      <c r="V22" s="1" t="s">
        <v>18</v>
      </c>
      <c r="W22" s="1" t="s">
        <v>390</v>
      </c>
      <c r="X22" s="1" t="s">
        <v>60</v>
      </c>
      <c r="Y22" s="1" t="s">
        <v>21</v>
      </c>
      <c r="Z22" s="1">
        <v>24</v>
      </c>
    </row>
    <row r="23" spans="1:26" x14ac:dyDescent="0.25">
      <c r="A23" s="2">
        <v>45547.344134861109</v>
      </c>
      <c r="B23" s="1" t="s">
        <v>202</v>
      </c>
      <c r="C23" s="1" t="s">
        <v>391</v>
      </c>
      <c r="D23" s="1" t="s">
        <v>392</v>
      </c>
      <c r="E23" s="1" t="s">
        <v>177</v>
      </c>
      <c r="F23" s="1" t="s">
        <v>178</v>
      </c>
      <c r="G23" s="1" t="s">
        <v>393</v>
      </c>
      <c r="H23" s="1" t="s">
        <v>394</v>
      </c>
      <c r="I23" s="1" t="s">
        <v>181</v>
      </c>
      <c r="K23" s="1" t="s">
        <v>90</v>
      </c>
      <c r="L23" s="1" t="s">
        <v>90</v>
      </c>
      <c r="N23" s="1" t="s">
        <v>16</v>
      </c>
      <c r="O23" s="1" t="s">
        <v>182</v>
      </c>
      <c r="P23" s="1" t="s">
        <v>395</v>
      </c>
      <c r="Q23" s="1" t="s">
        <v>197</v>
      </c>
      <c r="R23" s="1" t="s">
        <v>396</v>
      </c>
      <c r="S23" s="1" t="s">
        <v>397</v>
      </c>
      <c r="T23" s="1">
        <v>10</v>
      </c>
      <c r="U23" s="1" t="s">
        <v>398</v>
      </c>
      <c r="V23" s="1" t="s">
        <v>18</v>
      </c>
      <c r="W23" s="1" t="s">
        <v>399</v>
      </c>
      <c r="X23" s="1" t="s">
        <v>20</v>
      </c>
      <c r="Y23" s="1" t="s">
        <v>21</v>
      </c>
      <c r="Z23" s="1">
        <v>22</v>
      </c>
    </row>
    <row r="24" spans="1:26" x14ac:dyDescent="0.25">
      <c r="A24" s="2">
        <v>45547.353022048614</v>
      </c>
      <c r="B24" s="1" t="s">
        <v>202</v>
      </c>
      <c r="C24" s="1" t="s">
        <v>400</v>
      </c>
      <c r="D24" s="1" t="s">
        <v>401</v>
      </c>
      <c r="E24" s="1" t="s">
        <v>177</v>
      </c>
      <c r="F24" s="1" t="s">
        <v>178</v>
      </c>
      <c r="G24" s="1" t="s">
        <v>402</v>
      </c>
      <c r="H24" s="1" t="s">
        <v>403</v>
      </c>
      <c r="I24" s="1" t="s">
        <v>181</v>
      </c>
      <c r="K24" s="1" t="s">
        <v>90</v>
      </c>
      <c r="L24" s="1" t="s">
        <v>90</v>
      </c>
      <c r="M24" s="1" t="s">
        <v>22</v>
      </c>
      <c r="N24" s="1" t="s">
        <v>16</v>
      </c>
      <c r="O24" s="1" t="s">
        <v>207</v>
      </c>
      <c r="P24" s="1" t="s">
        <v>404</v>
      </c>
      <c r="Q24" s="1" t="s">
        <v>405</v>
      </c>
      <c r="R24" s="1" t="s">
        <v>406</v>
      </c>
      <c r="S24" s="1" t="s">
        <v>407</v>
      </c>
      <c r="T24" s="1">
        <v>10</v>
      </c>
      <c r="U24" s="1" t="s">
        <v>408</v>
      </c>
      <c r="V24" s="1" t="s">
        <v>18</v>
      </c>
      <c r="W24" s="1" t="s">
        <v>409</v>
      </c>
      <c r="X24" s="1" t="s">
        <v>20</v>
      </c>
      <c r="Y24" s="1" t="s">
        <v>34</v>
      </c>
      <c r="Z24" s="1">
        <v>23</v>
      </c>
    </row>
    <row r="25" spans="1:26" x14ac:dyDescent="0.25">
      <c r="A25" s="2">
        <v>45547.356711967594</v>
      </c>
      <c r="B25" s="1" t="s">
        <v>410</v>
      </c>
      <c r="C25" s="1" t="s">
        <v>411</v>
      </c>
      <c r="D25" s="1" t="s">
        <v>412</v>
      </c>
      <c r="E25" s="1" t="s">
        <v>177</v>
      </c>
      <c r="F25" s="1" t="s">
        <v>178</v>
      </c>
      <c r="G25" s="1" t="s">
        <v>413</v>
      </c>
      <c r="H25" s="1" t="s">
        <v>414</v>
      </c>
      <c r="I25" s="1" t="s">
        <v>177</v>
      </c>
      <c r="J25" s="1" t="s">
        <v>415</v>
      </c>
      <c r="K25" s="1" t="s">
        <v>90</v>
      </c>
      <c r="L25" s="1" t="s">
        <v>90</v>
      </c>
      <c r="M25" s="1" t="s">
        <v>90</v>
      </c>
      <c r="N25" s="1" t="s">
        <v>16</v>
      </c>
      <c r="O25" s="1" t="s">
        <v>207</v>
      </c>
      <c r="P25" s="1" t="s">
        <v>416</v>
      </c>
      <c r="Q25" s="1" t="s">
        <v>417</v>
      </c>
      <c r="R25" s="1" t="s">
        <v>418</v>
      </c>
      <c r="S25" s="1" t="s">
        <v>419</v>
      </c>
      <c r="T25" s="1">
        <v>10</v>
      </c>
      <c r="U25" s="1" t="s">
        <v>420</v>
      </c>
      <c r="V25" s="1" t="s">
        <v>18</v>
      </c>
      <c r="W25" s="1" t="s">
        <v>421</v>
      </c>
      <c r="X25" s="1" t="s">
        <v>20</v>
      </c>
      <c r="Y25" s="1" t="s">
        <v>21</v>
      </c>
      <c r="Z25" s="1">
        <v>22</v>
      </c>
    </row>
    <row r="26" spans="1:26" x14ac:dyDescent="0.25">
      <c r="A26" s="2">
        <v>45547.36606792824</v>
      </c>
      <c r="B26" s="1" t="s">
        <v>202</v>
      </c>
      <c r="C26" s="1" t="s">
        <v>422</v>
      </c>
      <c r="D26" s="1" t="s">
        <v>423</v>
      </c>
      <c r="E26" s="1" t="s">
        <v>177</v>
      </c>
      <c r="F26" s="1" t="s">
        <v>324</v>
      </c>
      <c r="G26" s="1" t="s">
        <v>424</v>
      </c>
      <c r="H26" s="1" t="s">
        <v>425</v>
      </c>
      <c r="I26" s="1" t="s">
        <v>181</v>
      </c>
      <c r="K26" s="1" t="s">
        <v>22</v>
      </c>
      <c r="L26" s="1" t="s">
        <v>22</v>
      </c>
      <c r="M26" s="1" t="s">
        <v>22</v>
      </c>
      <c r="N26" s="1" t="s">
        <v>16</v>
      </c>
      <c r="O26" s="1" t="s">
        <v>182</v>
      </c>
      <c r="P26" s="1" t="s">
        <v>426</v>
      </c>
      <c r="Q26" s="1" t="s">
        <v>427</v>
      </c>
      <c r="R26" s="1" t="s">
        <v>428</v>
      </c>
      <c r="S26" s="1" t="s">
        <v>429</v>
      </c>
      <c r="T26" s="1">
        <v>10</v>
      </c>
      <c r="U26" s="1" t="s">
        <v>430</v>
      </c>
      <c r="V26" s="1" t="s">
        <v>18</v>
      </c>
      <c r="W26" s="1" t="s">
        <v>33</v>
      </c>
      <c r="X26" s="1" t="s">
        <v>20</v>
      </c>
      <c r="Y26" s="1" t="s">
        <v>34</v>
      </c>
      <c r="Z26" s="1">
        <v>22</v>
      </c>
    </row>
    <row r="27" spans="1:26" x14ac:dyDescent="0.25">
      <c r="A27" s="2">
        <v>45547.375245648145</v>
      </c>
      <c r="B27" s="1" t="s">
        <v>202</v>
      </c>
      <c r="C27" s="1" t="s">
        <v>431</v>
      </c>
      <c r="D27" s="1" t="s">
        <v>432</v>
      </c>
      <c r="E27" s="1" t="s">
        <v>177</v>
      </c>
      <c r="F27" s="1" t="s">
        <v>324</v>
      </c>
      <c r="G27" s="1" t="s">
        <v>433</v>
      </c>
      <c r="H27" s="1" t="s">
        <v>434</v>
      </c>
      <c r="I27" s="1" t="s">
        <v>181</v>
      </c>
      <c r="K27" s="1" t="s">
        <v>90</v>
      </c>
      <c r="L27" s="1" t="s">
        <v>90</v>
      </c>
      <c r="M27" s="1" t="s">
        <v>90</v>
      </c>
      <c r="N27" s="1" t="s">
        <v>16</v>
      </c>
      <c r="O27" s="1" t="s">
        <v>195</v>
      </c>
      <c r="P27" s="1" t="s">
        <v>435</v>
      </c>
      <c r="Q27" s="1" t="s">
        <v>436</v>
      </c>
      <c r="R27" s="1" t="s">
        <v>437</v>
      </c>
      <c r="S27" s="1" t="s">
        <v>438</v>
      </c>
      <c r="T27" s="1">
        <v>10</v>
      </c>
      <c r="U27" s="1" t="s">
        <v>439</v>
      </c>
      <c r="V27" s="1" t="s">
        <v>18</v>
      </c>
      <c r="W27" s="1" t="s">
        <v>440</v>
      </c>
      <c r="X27" s="1" t="s">
        <v>20</v>
      </c>
      <c r="Y27" s="1" t="s">
        <v>34</v>
      </c>
      <c r="Z27" s="1">
        <v>21</v>
      </c>
    </row>
    <row r="28" spans="1:26" x14ac:dyDescent="0.25">
      <c r="A28" s="2">
        <v>45547.376531180555</v>
      </c>
      <c r="B28" s="1" t="s">
        <v>202</v>
      </c>
      <c r="C28" s="1" t="s">
        <v>441</v>
      </c>
      <c r="D28" s="1" t="s">
        <v>442</v>
      </c>
      <c r="E28" s="1" t="s">
        <v>177</v>
      </c>
      <c r="F28" s="1" t="s">
        <v>178</v>
      </c>
      <c r="G28" s="1" t="s">
        <v>443</v>
      </c>
      <c r="H28" s="1" t="s">
        <v>444</v>
      </c>
      <c r="I28" s="1" t="s">
        <v>177</v>
      </c>
      <c r="J28" s="1" t="s">
        <v>445</v>
      </c>
      <c r="K28" s="1" t="s">
        <v>22</v>
      </c>
      <c r="L28" s="1" t="s">
        <v>22</v>
      </c>
      <c r="M28" s="1" t="s">
        <v>22</v>
      </c>
      <c r="N28" s="1" t="s">
        <v>16</v>
      </c>
      <c r="O28" s="1" t="s">
        <v>195</v>
      </c>
      <c r="P28" s="1" t="s">
        <v>446</v>
      </c>
      <c r="Q28" s="1" t="s">
        <v>197</v>
      </c>
      <c r="R28" s="1" t="s">
        <v>447</v>
      </c>
      <c r="S28" s="1" t="s">
        <v>343</v>
      </c>
      <c r="T28" s="1">
        <v>10</v>
      </c>
      <c r="U28" s="1" t="s">
        <v>448</v>
      </c>
      <c r="V28" s="1" t="s">
        <v>18</v>
      </c>
      <c r="W28" s="1" t="s">
        <v>449</v>
      </c>
      <c r="X28" s="1" t="s">
        <v>20</v>
      </c>
      <c r="Y28" s="1" t="s">
        <v>21</v>
      </c>
      <c r="Z28" s="1">
        <v>22</v>
      </c>
    </row>
    <row r="29" spans="1:26" x14ac:dyDescent="0.25">
      <c r="A29" s="2">
        <v>45547.386729189813</v>
      </c>
      <c r="B29" s="1" t="s">
        <v>450</v>
      </c>
      <c r="C29" s="1" t="s">
        <v>451</v>
      </c>
      <c r="D29" s="1" t="s">
        <v>452</v>
      </c>
      <c r="E29" s="1" t="s">
        <v>177</v>
      </c>
      <c r="F29" s="1" t="s">
        <v>324</v>
      </c>
      <c r="G29" s="1" t="s">
        <v>453</v>
      </c>
      <c r="H29" s="1" t="s">
        <v>454</v>
      </c>
      <c r="I29" s="1" t="s">
        <v>181</v>
      </c>
      <c r="K29" s="1" t="s">
        <v>90</v>
      </c>
      <c r="L29" s="1" t="s">
        <v>22</v>
      </c>
      <c r="M29" s="1" t="s">
        <v>22</v>
      </c>
      <c r="N29" s="1" t="s">
        <v>16</v>
      </c>
      <c r="O29" s="1" t="s">
        <v>207</v>
      </c>
      <c r="P29" s="1" t="s">
        <v>455</v>
      </c>
      <c r="Q29" s="1" t="s">
        <v>197</v>
      </c>
      <c r="R29" s="1" t="s">
        <v>456</v>
      </c>
      <c r="S29" s="1" t="s">
        <v>457</v>
      </c>
      <c r="T29" s="1">
        <v>10</v>
      </c>
      <c r="U29" s="1" t="s">
        <v>458</v>
      </c>
      <c r="V29" s="1" t="s">
        <v>18</v>
      </c>
      <c r="W29" s="1" t="s">
        <v>459</v>
      </c>
      <c r="X29" s="1" t="s">
        <v>20</v>
      </c>
      <c r="Y29" s="1" t="s">
        <v>21</v>
      </c>
      <c r="Z29" s="1">
        <v>22</v>
      </c>
    </row>
    <row r="30" spans="1:26" x14ac:dyDescent="0.25">
      <c r="A30" s="2">
        <v>45547.431385798613</v>
      </c>
      <c r="B30" s="1" t="s">
        <v>202</v>
      </c>
      <c r="C30" s="1" t="s">
        <v>460</v>
      </c>
      <c r="D30" s="1" t="s">
        <v>461</v>
      </c>
      <c r="E30" s="1" t="s">
        <v>177</v>
      </c>
      <c r="F30" s="1" t="s">
        <v>324</v>
      </c>
      <c r="G30" s="1" t="s">
        <v>462</v>
      </c>
      <c r="H30" s="1" t="s">
        <v>463</v>
      </c>
      <c r="I30" s="1" t="s">
        <v>181</v>
      </c>
      <c r="K30" s="1" t="s">
        <v>22</v>
      </c>
      <c r="L30" s="1" t="s">
        <v>90</v>
      </c>
      <c r="M30" s="1" t="s">
        <v>90</v>
      </c>
      <c r="N30" s="1" t="s">
        <v>16</v>
      </c>
      <c r="O30" s="1" t="s">
        <v>207</v>
      </c>
      <c r="P30" s="1" t="s">
        <v>464</v>
      </c>
      <c r="Q30" s="1" t="s">
        <v>465</v>
      </c>
      <c r="R30" s="1" t="s">
        <v>466</v>
      </c>
      <c r="S30" s="1" t="s">
        <v>467</v>
      </c>
      <c r="T30" s="1">
        <v>10</v>
      </c>
      <c r="U30" s="1" t="s">
        <v>468</v>
      </c>
      <c r="V30" s="1" t="s">
        <v>18</v>
      </c>
      <c r="W30" s="1" t="s">
        <v>469</v>
      </c>
      <c r="X30" s="1" t="s">
        <v>20</v>
      </c>
      <c r="Y30" s="1" t="s">
        <v>34</v>
      </c>
      <c r="Z30" s="1">
        <v>22</v>
      </c>
    </row>
    <row r="31" spans="1:26" x14ac:dyDescent="0.25">
      <c r="A31" s="2">
        <v>45547.500864108792</v>
      </c>
      <c r="B31" s="1" t="s">
        <v>202</v>
      </c>
      <c r="C31" s="1" t="s">
        <v>470</v>
      </c>
      <c r="D31" s="1" t="s">
        <v>471</v>
      </c>
      <c r="E31" s="1" t="s">
        <v>177</v>
      </c>
      <c r="F31" s="1" t="s">
        <v>178</v>
      </c>
      <c r="G31" s="1" t="s">
        <v>472</v>
      </c>
      <c r="H31" s="1" t="s">
        <v>473</v>
      </c>
      <c r="I31" s="1" t="s">
        <v>177</v>
      </c>
      <c r="J31" s="1" t="s">
        <v>474</v>
      </c>
      <c r="K31" s="1" t="s">
        <v>90</v>
      </c>
      <c r="L31" s="1" t="s">
        <v>90</v>
      </c>
      <c r="M31" s="1" t="s">
        <v>90</v>
      </c>
      <c r="N31" s="1" t="s">
        <v>16</v>
      </c>
      <c r="O31" s="1" t="s">
        <v>182</v>
      </c>
      <c r="P31" s="1" t="s">
        <v>475</v>
      </c>
      <c r="Q31" s="1" t="s">
        <v>197</v>
      </c>
      <c r="R31" s="1" t="s">
        <v>476</v>
      </c>
      <c r="S31" s="1" t="s">
        <v>477</v>
      </c>
      <c r="T31" s="1">
        <v>10</v>
      </c>
      <c r="U31" s="1" t="s">
        <v>478</v>
      </c>
      <c r="V31" s="1" t="s">
        <v>18</v>
      </c>
      <c r="W31" s="1" t="s">
        <v>36</v>
      </c>
      <c r="X31" s="1" t="s">
        <v>20</v>
      </c>
      <c r="Y31" s="1" t="s">
        <v>34</v>
      </c>
      <c r="Z31" s="1">
        <v>22</v>
      </c>
    </row>
    <row r="32" spans="1:26" x14ac:dyDescent="0.25">
      <c r="A32" s="2">
        <v>45547.516348229168</v>
      </c>
      <c r="B32" s="1" t="s">
        <v>479</v>
      </c>
      <c r="C32" s="1" t="s">
        <v>480</v>
      </c>
      <c r="D32" s="1" t="s">
        <v>481</v>
      </c>
      <c r="E32" s="1" t="s">
        <v>177</v>
      </c>
      <c r="F32" s="1" t="s">
        <v>294</v>
      </c>
      <c r="G32" s="1" t="s">
        <v>482</v>
      </c>
      <c r="H32" s="1" t="s">
        <v>483</v>
      </c>
      <c r="I32" s="1" t="s">
        <v>181</v>
      </c>
      <c r="K32" s="1" t="s">
        <v>90</v>
      </c>
      <c r="L32" s="1" t="s">
        <v>90</v>
      </c>
      <c r="M32" s="1" t="s">
        <v>90</v>
      </c>
      <c r="N32" s="1" t="s">
        <v>16</v>
      </c>
      <c r="O32" s="1" t="s">
        <v>195</v>
      </c>
      <c r="P32" s="1" t="s">
        <v>484</v>
      </c>
      <c r="Q32" s="1" t="s">
        <v>485</v>
      </c>
      <c r="R32" s="1" t="s">
        <v>486</v>
      </c>
      <c r="S32" s="1" t="s">
        <v>487</v>
      </c>
      <c r="T32" s="1">
        <v>10</v>
      </c>
      <c r="U32" s="1" t="s">
        <v>488</v>
      </c>
      <c r="V32" s="1" t="s">
        <v>18</v>
      </c>
      <c r="W32" s="1" t="s">
        <v>489</v>
      </c>
      <c r="X32" s="1" t="s">
        <v>20</v>
      </c>
      <c r="Y32" s="1" t="s">
        <v>34</v>
      </c>
      <c r="Z32" s="1">
        <v>22</v>
      </c>
    </row>
    <row r="33" spans="1:26" x14ac:dyDescent="0.25">
      <c r="A33" s="2">
        <v>45547.517012291668</v>
      </c>
      <c r="B33" s="1" t="s">
        <v>202</v>
      </c>
      <c r="C33" s="1" t="s">
        <v>262</v>
      </c>
      <c r="D33" s="1" t="s">
        <v>490</v>
      </c>
      <c r="E33" s="1" t="s">
        <v>177</v>
      </c>
      <c r="F33" s="1" t="s">
        <v>178</v>
      </c>
      <c r="G33" s="1" t="s">
        <v>491</v>
      </c>
      <c r="I33" s="1" t="s">
        <v>181</v>
      </c>
      <c r="K33" s="1" t="s">
        <v>90</v>
      </c>
      <c r="L33" s="1" t="s">
        <v>90</v>
      </c>
      <c r="M33" s="1" t="s">
        <v>90</v>
      </c>
      <c r="N33" s="1" t="s">
        <v>16</v>
      </c>
      <c r="O33" s="1" t="s">
        <v>195</v>
      </c>
      <c r="P33" s="1" t="s">
        <v>492</v>
      </c>
      <c r="Q33" s="1" t="s">
        <v>465</v>
      </c>
      <c r="R33" s="1" t="s">
        <v>493</v>
      </c>
      <c r="S33" s="1" t="s">
        <v>494</v>
      </c>
      <c r="T33" s="1">
        <v>10</v>
      </c>
      <c r="U33" s="1" t="s">
        <v>495</v>
      </c>
      <c r="V33" s="1" t="s">
        <v>18</v>
      </c>
      <c r="W33" s="1" t="s">
        <v>496</v>
      </c>
      <c r="X33" s="1" t="s">
        <v>20</v>
      </c>
      <c r="Y33" s="1" t="s">
        <v>21</v>
      </c>
      <c r="Z33" s="1">
        <v>23</v>
      </c>
    </row>
    <row r="34" spans="1:26" x14ac:dyDescent="0.25">
      <c r="A34" s="2">
        <v>45547.542345462964</v>
      </c>
      <c r="B34" s="1" t="s">
        <v>202</v>
      </c>
      <c r="C34" s="1" t="s">
        <v>497</v>
      </c>
      <c r="D34" s="1" t="s">
        <v>498</v>
      </c>
      <c r="E34" s="1" t="s">
        <v>177</v>
      </c>
      <c r="F34" s="1" t="s">
        <v>178</v>
      </c>
      <c r="G34" s="1" t="s">
        <v>499</v>
      </c>
      <c r="H34" s="1" t="s">
        <v>500</v>
      </c>
      <c r="I34" s="1" t="s">
        <v>181</v>
      </c>
      <c r="K34" s="1" t="s">
        <v>90</v>
      </c>
      <c r="L34" s="1" t="s">
        <v>90</v>
      </c>
      <c r="M34" s="1" t="s">
        <v>90</v>
      </c>
      <c r="N34" s="1" t="s">
        <v>16</v>
      </c>
      <c r="O34" s="1" t="s">
        <v>207</v>
      </c>
      <c r="P34" s="1" t="s">
        <v>501</v>
      </c>
      <c r="Q34" s="1" t="s">
        <v>405</v>
      </c>
      <c r="R34" s="1" t="s">
        <v>502</v>
      </c>
      <c r="S34" s="1" t="s">
        <v>429</v>
      </c>
      <c r="T34" s="1">
        <v>10</v>
      </c>
      <c r="U34" s="1" t="s">
        <v>503</v>
      </c>
      <c r="V34" s="1" t="s">
        <v>18</v>
      </c>
      <c r="W34" s="1" t="s">
        <v>50</v>
      </c>
      <c r="X34" s="1" t="s">
        <v>135</v>
      </c>
      <c r="Y34" s="1" t="s">
        <v>34</v>
      </c>
      <c r="Z34" s="1">
        <v>27</v>
      </c>
    </row>
    <row r="35" spans="1:26" x14ac:dyDescent="0.25">
      <c r="A35" s="2">
        <v>45547.561407002315</v>
      </c>
      <c r="B35" s="1" t="s">
        <v>504</v>
      </c>
      <c r="C35" s="1" t="s">
        <v>505</v>
      </c>
      <c r="D35" s="1" t="s">
        <v>506</v>
      </c>
      <c r="E35" s="1" t="s">
        <v>177</v>
      </c>
      <c r="F35" s="1" t="s">
        <v>324</v>
      </c>
      <c r="G35" s="1" t="s">
        <v>507</v>
      </c>
      <c r="H35" s="1" t="s">
        <v>508</v>
      </c>
      <c r="I35" s="1" t="s">
        <v>181</v>
      </c>
      <c r="K35" s="1" t="s">
        <v>90</v>
      </c>
      <c r="L35" s="1" t="s">
        <v>90</v>
      </c>
      <c r="M35" s="1" t="s">
        <v>90</v>
      </c>
      <c r="N35" s="1" t="s">
        <v>16</v>
      </c>
      <c r="O35" s="1" t="s">
        <v>207</v>
      </c>
      <c r="P35" s="1" t="s">
        <v>509</v>
      </c>
      <c r="Q35" s="1" t="s">
        <v>197</v>
      </c>
      <c r="R35" s="1" t="s">
        <v>510</v>
      </c>
      <c r="S35" s="1" t="s">
        <v>511</v>
      </c>
      <c r="T35" s="1">
        <v>10</v>
      </c>
      <c r="U35" s="1" t="s">
        <v>512</v>
      </c>
      <c r="V35" s="1" t="s">
        <v>18</v>
      </c>
      <c r="W35" s="1" t="s">
        <v>513</v>
      </c>
      <c r="X35" s="1" t="s">
        <v>20</v>
      </c>
      <c r="Y35" s="1" t="s">
        <v>21</v>
      </c>
      <c r="Z35" s="1">
        <v>24</v>
      </c>
    </row>
    <row r="36" spans="1:26" x14ac:dyDescent="0.25">
      <c r="A36" s="2">
        <v>45547.577265</v>
      </c>
      <c r="B36" s="1" t="s">
        <v>202</v>
      </c>
      <c r="C36" s="1" t="s">
        <v>514</v>
      </c>
      <c r="D36" s="1" t="s">
        <v>515</v>
      </c>
      <c r="E36" s="1" t="s">
        <v>177</v>
      </c>
      <c r="F36" s="1" t="s">
        <v>178</v>
      </c>
      <c r="G36" s="1" t="s">
        <v>516</v>
      </c>
      <c r="H36" s="1" t="s">
        <v>517</v>
      </c>
      <c r="I36" s="1" t="s">
        <v>181</v>
      </c>
      <c r="K36" s="1" t="s">
        <v>90</v>
      </c>
      <c r="L36" s="1" t="s">
        <v>90</v>
      </c>
      <c r="M36" s="1" t="s">
        <v>90</v>
      </c>
      <c r="N36" s="1" t="s">
        <v>16</v>
      </c>
      <c r="O36" s="1" t="s">
        <v>182</v>
      </c>
      <c r="P36" s="1" t="s">
        <v>518</v>
      </c>
      <c r="Q36" s="1" t="s">
        <v>197</v>
      </c>
      <c r="R36" s="1" t="s">
        <v>519</v>
      </c>
      <c r="S36" s="1" t="s">
        <v>520</v>
      </c>
      <c r="T36" s="1">
        <v>10</v>
      </c>
      <c r="U36" s="1" t="s">
        <v>521</v>
      </c>
      <c r="V36" s="1" t="s">
        <v>18</v>
      </c>
      <c r="W36" s="1" t="s">
        <v>46</v>
      </c>
      <c r="X36" s="1" t="s">
        <v>20</v>
      </c>
      <c r="Y36" s="1" t="s">
        <v>21</v>
      </c>
      <c r="Z36" s="1">
        <v>22</v>
      </c>
    </row>
    <row r="37" spans="1:26" x14ac:dyDescent="0.25">
      <c r="A37" s="2">
        <v>45547.680089398149</v>
      </c>
      <c r="B37" s="1" t="s">
        <v>202</v>
      </c>
      <c r="C37" s="1" t="s">
        <v>522</v>
      </c>
      <c r="D37" s="1" t="s">
        <v>523</v>
      </c>
      <c r="E37" s="1" t="s">
        <v>177</v>
      </c>
      <c r="F37" s="1" t="s">
        <v>324</v>
      </c>
      <c r="G37" s="1" t="s">
        <v>524</v>
      </c>
      <c r="H37" s="1" t="s">
        <v>429</v>
      </c>
      <c r="I37" s="1" t="s">
        <v>181</v>
      </c>
      <c r="K37" s="1" t="s">
        <v>90</v>
      </c>
      <c r="L37" s="1" t="s">
        <v>22</v>
      </c>
      <c r="M37" s="1" t="s">
        <v>90</v>
      </c>
      <c r="N37" s="1" t="s">
        <v>16</v>
      </c>
      <c r="O37" s="1" t="s">
        <v>195</v>
      </c>
      <c r="P37" s="1" t="s">
        <v>525</v>
      </c>
      <c r="Q37" s="1" t="s">
        <v>197</v>
      </c>
      <c r="R37" s="1" t="s">
        <v>526</v>
      </c>
      <c r="S37" s="1" t="s">
        <v>429</v>
      </c>
      <c r="T37" s="1">
        <v>9</v>
      </c>
      <c r="U37" s="1" t="s">
        <v>527</v>
      </c>
      <c r="V37" s="1" t="s">
        <v>18</v>
      </c>
      <c r="W37" s="1" t="s">
        <v>30</v>
      </c>
      <c r="X37" s="1" t="s">
        <v>20</v>
      </c>
      <c r="Y37" s="1" t="s">
        <v>21</v>
      </c>
      <c r="Z37" s="1">
        <v>22</v>
      </c>
    </row>
    <row r="38" spans="1:26" x14ac:dyDescent="0.25">
      <c r="A38" s="2">
        <v>45548.060070729167</v>
      </c>
      <c r="B38" s="1" t="s">
        <v>202</v>
      </c>
      <c r="C38" s="1" t="s">
        <v>528</v>
      </c>
      <c r="D38" s="1" t="s">
        <v>529</v>
      </c>
      <c r="E38" s="1" t="s">
        <v>177</v>
      </c>
      <c r="F38" s="1" t="s">
        <v>178</v>
      </c>
      <c r="G38" s="1" t="s">
        <v>530</v>
      </c>
      <c r="H38" s="1" t="s">
        <v>531</v>
      </c>
      <c r="I38" s="1" t="s">
        <v>181</v>
      </c>
      <c r="K38" s="1" t="s">
        <v>90</v>
      </c>
      <c r="L38" s="1" t="s">
        <v>22</v>
      </c>
      <c r="M38" s="1" t="s">
        <v>22</v>
      </c>
      <c r="N38" s="1" t="s">
        <v>16</v>
      </c>
      <c r="O38" s="1" t="s">
        <v>195</v>
      </c>
      <c r="P38" s="1" t="s">
        <v>532</v>
      </c>
      <c r="Q38" s="1" t="s">
        <v>276</v>
      </c>
      <c r="R38" s="1" t="s">
        <v>533</v>
      </c>
      <c r="S38" s="1" t="s">
        <v>534</v>
      </c>
      <c r="T38" s="1">
        <v>10</v>
      </c>
      <c r="U38" s="1" t="s">
        <v>535</v>
      </c>
      <c r="V38" s="1" t="s">
        <v>18</v>
      </c>
      <c r="W38" s="1" t="s">
        <v>536</v>
      </c>
      <c r="X38" s="1" t="s">
        <v>20</v>
      </c>
      <c r="Y38" s="1" t="s">
        <v>21</v>
      </c>
      <c r="Z38" s="1">
        <v>22</v>
      </c>
    </row>
    <row r="39" spans="1:26" x14ac:dyDescent="0.25">
      <c r="A39" s="2">
        <v>45548.100472418984</v>
      </c>
      <c r="B39" s="1" t="s">
        <v>537</v>
      </c>
      <c r="C39" s="1" t="s">
        <v>429</v>
      </c>
      <c r="D39" s="1" t="s">
        <v>429</v>
      </c>
      <c r="E39" s="1" t="s">
        <v>177</v>
      </c>
      <c r="F39" s="1" t="s">
        <v>178</v>
      </c>
      <c r="G39" s="1" t="s">
        <v>538</v>
      </c>
      <c r="H39" s="1" t="s">
        <v>539</v>
      </c>
      <c r="I39" s="1" t="s">
        <v>181</v>
      </c>
      <c r="K39" s="1" t="s">
        <v>90</v>
      </c>
      <c r="L39" s="1" t="s">
        <v>90</v>
      </c>
      <c r="M39" s="1" t="s">
        <v>90</v>
      </c>
      <c r="N39" s="1" t="s">
        <v>16</v>
      </c>
      <c r="O39" s="1" t="s">
        <v>182</v>
      </c>
      <c r="P39" s="1" t="s">
        <v>540</v>
      </c>
      <c r="Q39" s="1" t="s">
        <v>197</v>
      </c>
      <c r="R39" s="1" t="s">
        <v>541</v>
      </c>
      <c r="S39" s="1" t="s">
        <v>429</v>
      </c>
      <c r="T39" s="1">
        <v>10</v>
      </c>
      <c r="U39" s="1" t="s">
        <v>542</v>
      </c>
      <c r="V39" s="1" t="s">
        <v>18</v>
      </c>
      <c r="W39" s="1" t="s">
        <v>342</v>
      </c>
      <c r="X39" s="1" t="s">
        <v>60</v>
      </c>
      <c r="Y39" s="1" t="s">
        <v>21</v>
      </c>
      <c r="Z39" s="1">
        <v>25</v>
      </c>
    </row>
    <row r="40" spans="1:26" x14ac:dyDescent="0.25">
      <c r="A40" s="2">
        <v>45548.13361863426</v>
      </c>
      <c r="B40" s="1" t="s">
        <v>543</v>
      </c>
      <c r="C40" s="1" t="s">
        <v>544</v>
      </c>
      <c r="D40" s="1" t="s">
        <v>545</v>
      </c>
      <c r="E40" s="1" t="s">
        <v>177</v>
      </c>
      <c r="F40" s="1" t="s">
        <v>178</v>
      </c>
      <c r="G40" s="1" t="s">
        <v>546</v>
      </c>
      <c r="H40" s="1" t="s">
        <v>547</v>
      </c>
      <c r="I40" s="1" t="s">
        <v>181</v>
      </c>
      <c r="K40" s="1" t="s">
        <v>90</v>
      </c>
      <c r="L40" s="1" t="s">
        <v>90</v>
      </c>
      <c r="M40" s="1" t="s">
        <v>90</v>
      </c>
      <c r="N40" s="1" t="s">
        <v>16</v>
      </c>
      <c r="O40" s="1" t="s">
        <v>207</v>
      </c>
      <c r="P40" s="1" t="s">
        <v>548</v>
      </c>
      <c r="Q40" s="1" t="s">
        <v>276</v>
      </c>
      <c r="R40" s="1" t="s">
        <v>526</v>
      </c>
      <c r="S40" s="1" t="s">
        <v>549</v>
      </c>
      <c r="T40" s="1">
        <v>10</v>
      </c>
      <c r="U40" s="1" t="s">
        <v>550</v>
      </c>
      <c r="V40" s="1" t="s">
        <v>18</v>
      </c>
      <c r="W40" s="1" t="s">
        <v>551</v>
      </c>
      <c r="X40" s="1" t="s">
        <v>20</v>
      </c>
      <c r="Y40" s="1" t="s">
        <v>34</v>
      </c>
      <c r="Z40" s="1">
        <v>22</v>
      </c>
    </row>
    <row r="41" spans="1:26" x14ac:dyDescent="0.25">
      <c r="A41" s="2">
        <v>45551.115242673608</v>
      </c>
      <c r="B41" s="1" t="s">
        <v>202</v>
      </c>
      <c r="C41" s="1" t="s">
        <v>552</v>
      </c>
      <c r="D41" s="1" t="s">
        <v>553</v>
      </c>
      <c r="E41" s="1" t="s">
        <v>181</v>
      </c>
      <c r="F41" s="1" t="s">
        <v>324</v>
      </c>
      <c r="G41" s="1" t="s">
        <v>554</v>
      </c>
      <c r="H41" s="1" t="s">
        <v>555</v>
      </c>
      <c r="I41" s="1" t="s">
        <v>181</v>
      </c>
      <c r="K41" s="1" t="s">
        <v>90</v>
      </c>
      <c r="L41" s="1" t="s">
        <v>90</v>
      </c>
      <c r="M41" s="1" t="s">
        <v>90</v>
      </c>
      <c r="N41" s="1" t="s">
        <v>16</v>
      </c>
      <c r="O41" s="1" t="s">
        <v>207</v>
      </c>
      <c r="P41" s="1" t="s">
        <v>556</v>
      </c>
      <c r="Q41" s="1" t="s">
        <v>197</v>
      </c>
      <c r="R41" s="1" t="s">
        <v>557</v>
      </c>
      <c r="S41" s="1" t="s">
        <v>558</v>
      </c>
      <c r="T41" s="1">
        <v>10</v>
      </c>
      <c r="U41" s="1" t="s">
        <v>559</v>
      </c>
      <c r="V41" s="1" t="s">
        <v>18</v>
      </c>
      <c r="W41" s="1" t="s">
        <v>560</v>
      </c>
      <c r="X41" s="1" t="s">
        <v>60</v>
      </c>
      <c r="Y41" s="1" t="s">
        <v>21</v>
      </c>
      <c r="Z41" s="1">
        <v>24</v>
      </c>
    </row>
    <row r="42" spans="1:26" x14ac:dyDescent="0.25">
      <c r="A42" s="2">
        <v>45551.14958331018</v>
      </c>
      <c r="B42" s="1" t="s">
        <v>202</v>
      </c>
      <c r="C42" s="1" t="s">
        <v>561</v>
      </c>
      <c r="D42" s="1" t="s">
        <v>429</v>
      </c>
      <c r="E42" s="1" t="s">
        <v>177</v>
      </c>
      <c r="F42" s="1" t="s">
        <v>178</v>
      </c>
      <c r="G42" s="1" t="s">
        <v>562</v>
      </c>
      <c r="H42" s="1" t="s">
        <v>563</v>
      </c>
      <c r="I42" s="1" t="s">
        <v>181</v>
      </c>
      <c r="K42" s="1" t="s">
        <v>22</v>
      </c>
      <c r="L42" s="1" t="s">
        <v>22</v>
      </c>
      <c r="M42" s="1" t="s">
        <v>22</v>
      </c>
      <c r="N42" s="1" t="s">
        <v>16</v>
      </c>
      <c r="O42" s="1" t="s">
        <v>182</v>
      </c>
      <c r="P42" s="1" t="s">
        <v>564</v>
      </c>
      <c r="Q42" s="1" t="s">
        <v>249</v>
      </c>
      <c r="R42" s="1" t="s">
        <v>561</v>
      </c>
      <c r="S42" s="1" t="s">
        <v>429</v>
      </c>
      <c r="T42" s="1">
        <v>10</v>
      </c>
      <c r="U42" s="1" t="s">
        <v>565</v>
      </c>
      <c r="V42" s="1" t="s">
        <v>18</v>
      </c>
      <c r="W42" s="1" t="s">
        <v>566</v>
      </c>
      <c r="X42" s="1" t="s">
        <v>20</v>
      </c>
      <c r="Y42" s="1" t="s">
        <v>34</v>
      </c>
      <c r="Z42" s="1">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2625E-3510-4DBE-8293-8CBE31FD4C14}">
  <dimension ref="A1:BA43"/>
  <sheetViews>
    <sheetView workbookViewId="0">
      <selection activeCell="B7" sqref="B7"/>
    </sheetView>
  </sheetViews>
  <sheetFormatPr defaultRowHeight="12.5" x14ac:dyDescent="0.25"/>
  <cols>
    <col min="1" max="1" width="18.90625" customWidth="1"/>
    <col min="2" max="3" width="37.6328125" customWidth="1"/>
    <col min="4" max="4" width="25.7265625" customWidth="1"/>
    <col min="5" max="5" width="37.6328125" customWidth="1"/>
    <col min="6" max="6" width="32.36328125" customWidth="1"/>
    <col min="7" max="45" width="37.6328125" customWidth="1"/>
    <col min="46" max="46" width="27.90625" customWidth="1"/>
    <col min="47" max="47" width="27.7265625" customWidth="1"/>
    <col min="48" max="51" width="37.6328125" customWidth="1"/>
    <col min="52" max="52" width="20.453125" customWidth="1"/>
    <col min="53" max="53" width="18.90625" customWidth="1"/>
  </cols>
  <sheetData>
    <row r="1" spans="1:53" ht="13" x14ac:dyDescent="0.25">
      <c r="A1" s="3" t="s">
        <v>0</v>
      </c>
      <c r="B1" s="4" t="s">
        <v>567</v>
      </c>
      <c r="C1" s="4" t="s">
        <v>568</v>
      </c>
      <c r="D1" s="4" t="s">
        <v>569</v>
      </c>
      <c r="E1" s="4" t="s">
        <v>570</v>
      </c>
      <c r="F1" s="4" t="s">
        <v>571</v>
      </c>
      <c r="G1" s="4" t="s">
        <v>572</v>
      </c>
      <c r="H1" s="4" t="s">
        <v>573</v>
      </c>
      <c r="I1" s="4" t="s">
        <v>574</v>
      </c>
      <c r="J1" s="4" t="s">
        <v>575</v>
      </c>
      <c r="K1" s="4" t="s">
        <v>576</v>
      </c>
      <c r="L1" s="4" t="s">
        <v>577</v>
      </c>
      <c r="M1" s="4" t="s">
        <v>578</v>
      </c>
      <c r="N1" s="4" t="s">
        <v>579</v>
      </c>
      <c r="O1" s="4" t="s">
        <v>578</v>
      </c>
      <c r="P1" s="4" t="s">
        <v>580</v>
      </c>
      <c r="Q1" s="4" t="s">
        <v>578</v>
      </c>
      <c r="R1" s="4" t="s">
        <v>581</v>
      </c>
      <c r="S1" s="4" t="s">
        <v>578</v>
      </c>
      <c r="T1" s="4" t="s">
        <v>582</v>
      </c>
      <c r="U1" s="4" t="s">
        <v>578</v>
      </c>
      <c r="V1" s="4" t="s">
        <v>583</v>
      </c>
      <c r="W1" s="4" t="s">
        <v>578</v>
      </c>
      <c r="X1" s="4" t="s">
        <v>584</v>
      </c>
      <c r="Y1" s="4" t="s">
        <v>578</v>
      </c>
      <c r="Z1" s="4" t="s">
        <v>585</v>
      </c>
      <c r="AA1" s="4" t="s">
        <v>578</v>
      </c>
      <c r="AB1" s="4" t="s">
        <v>586</v>
      </c>
      <c r="AC1" s="4" t="s">
        <v>578</v>
      </c>
      <c r="AD1" s="4" t="s">
        <v>587</v>
      </c>
      <c r="AE1" s="4" t="s">
        <v>588</v>
      </c>
      <c r="AF1" s="4" t="s">
        <v>589</v>
      </c>
      <c r="AG1" s="4" t="s">
        <v>590</v>
      </c>
      <c r="AH1" s="4" t="s">
        <v>591</v>
      </c>
      <c r="AI1" s="4" t="s">
        <v>592</v>
      </c>
      <c r="AJ1" s="4" t="s">
        <v>593</v>
      </c>
      <c r="AK1" s="4" t="s">
        <v>594</v>
      </c>
      <c r="AL1" s="4" t="s">
        <v>595</v>
      </c>
      <c r="AM1" s="4" t="s">
        <v>596</v>
      </c>
      <c r="AN1" s="4" t="s">
        <v>597</v>
      </c>
      <c r="AO1" s="4" t="s">
        <v>598</v>
      </c>
      <c r="AP1" s="4" t="s">
        <v>599</v>
      </c>
      <c r="AQ1" s="4" t="s">
        <v>159</v>
      </c>
      <c r="AR1" s="4" t="s">
        <v>600</v>
      </c>
      <c r="AS1" s="4" t="s">
        <v>601</v>
      </c>
      <c r="AT1" s="4" t="s">
        <v>602</v>
      </c>
      <c r="AU1" s="4" t="s">
        <v>603</v>
      </c>
      <c r="AV1" s="4" t="s">
        <v>173</v>
      </c>
      <c r="AW1" s="4" t="s">
        <v>604</v>
      </c>
      <c r="AX1" s="4" t="s">
        <v>605</v>
      </c>
      <c r="AY1" s="4" t="s">
        <v>606</v>
      </c>
      <c r="AZ1" s="4" t="s">
        <v>10</v>
      </c>
      <c r="BA1" s="5" t="s">
        <v>11</v>
      </c>
    </row>
    <row r="2" spans="1:53" x14ac:dyDescent="0.25">
      <c r="A2" s="6">
        <v>45798.332059108798</v>
      </c>
      <c r="B2" s="7" t="s">
        <v>177</v>
      </c>
      <c r="C2" s="7" t="s">
        <v>607</v>
      </c>
      <c r="D2" s="7" t="s">
        <v>181</v>
      </c>
      <c r="E2" s="7"/>
      <c r="F2" s="7"/>
      <c r="G2" s="7"/>
      <c r="H2" s="7" t="s">
        <v>181</v>
      </c>
      <c r="I2" s="7"/>
      <c r="J2" s="7"/>
      <c r="K2" s="7" t="s">
        <v>177</v>
      </c>
      <c r="L2" s="7" t="s">
        <v>177</v>
      </c>
      <c r="M2" s="7" t="s">
        <v>608</v>
      </c>
      <c r="N2" s="7" t="s">
        <v>181</v>
      </c>
      <c r="O2" s="7"/>
      <c r="P2" s="7" t="s">
        <v>181</v>
      </c>
      <c r="Q2" s="7"/>
      <c r="R2" s="7" t="s">
        <v>181</v>
      </c>
      <c r="S2" s="7"/>
      <c r="T2" s="7" t="s">
        <v>181</v>
      </c>
      <c r="U2" s="7"/>
      <c r="V2" s="7" t="s">
        <v>177</v>
      </c>
      <c r="W2" s="7" t="s">
        <v>608</v>
      </c>
      <c r="X2" s="7" t="s">
        <v>181</v>
      </c>
      <c r="Y2" s="7"/>
      <c r="Z2" s="7" t="s">
        <v>181</v>
      </c>
      <c r="AA2" s="7"/>
      <c r="AB2" s="7" t="s">
        <v>177</v>
      </c>
      <c r="AC2" s="7" t="s">
        <v>609</v>
      </c>
      <c r="AD2" s="7" t="s">
        <v>610</v>
      </c>
      <c r="AE2" s="7" t="s">
        <v>611</v>
      </c>
      <c r="AF2" s="7" t="s">
        <v>16</v>
      </c>
      <c r="AG2" s="7" t="s">
        <v>241</v>
      </c>
      <c r="AH2" s="7" t="s">
        <v>364</v>
      </c>
      <c r="AI2" s="7" t="s">
        <v>612</v>
      </c>
      <c r="AJ2" s="7" t="s">
        <v>613</v>
      </c>
      <c r="AK2" s="7" t="s">
        <v>612</v>
      </c>
      <c r="AL2" s="7" t="s">
        <v>614</v>
      </c>
      <c r="AM2" s="7" t="s">
        <v>615</v>
      </c>
      <c r="AN2" s="7" t="s">
        <v>539</v>
      </c>
      <c r="AO2" s="7" t="s">
        <v>177</v>
      </c>
      <c r="AP2" s="7" t="s">
        <v>178</v>
      </c>
      <c r="AQ2" s="7" t="s">
        <v>616</v>
      </c>
      <c r="AR2" s="7" t="s">
        <v>617</v>
      </c>
      <c r="AS2" s="7" t="s">
        <v>618</v>
      </c>
      <c r="AT2" s="7" t="s">
        <v>100</v>
      </c>
      <c r="AU2" s="7" t="s">
        <v>619</v>
      </c>
      <c r="AV2" s="7" t="s">
        <v>135</v>
      </c>
      <c r="AW2" s="7" t="s">
        <v>620</v>
      </c>
      <c r="AX2" s="7" t="s">
        <v>621</v>
      </c>
      <c r="AY2" s="7" t="s">
        <v>622</v>
      </c>
      <c r="AZ2" s="7" t="s">
        <v>21</v>
      </c>
      <c r="BA2" s="8">
        <v>24</v>
      </c>
    </row>
    <row r="3" spans="1:53" x14ac:dyDescent="0.25">
      <c r="A3" s="9">
        <v>45798.720356817124</v>
      </c>
      <c r="B3" s="10" t="s">
        <v>177</v>
      </c>
      <c r="C3" s="10" t="s">
        <v>623</v>
      </c>
      <c r="D3" s="10" t="s">
        <v>177</v>
      </c>
      <c r="E3" s="10" t="s">
        <v>624</v>
      </c>
      <c r="F3" s="10" t="s">
        <v>625</v>
      </c>
      <c r="G3" s="10" t="s">
        <v>626</v>
      </c>
      <c r="H3" s="10" t="s">
        <v>181</v>
      </c>
      <c r="I3" s="10"/>
      <c r="J3" s="10"/>
      <c r="K3" s="10" t="s">
        <v>177</v>
      </c>
      <c r="L3" s="10" t="s">
        <v>177</v>
      </c>
      <c r="M3" s="10" t="s">
        <v>608</v>
      </c>
      <c r="N3" s="10" t="s">
        <v>177</v>
      </c>
      <c r="O3" s="10" t="s">
        <v>627</v>
      </c>
      <c r="P3" s="10" t="s">
        <v>177</v>
      </c>
      <c r="Q3" s="10" t="s">
        <v>609</v>
      </c>
      <c r="R3" s="10" t="s">
        <v>177</v>
      </c>
      <c r="S3" s="10" t="s">
        <v>608</v>
      </c>
      <c r="T3" s="10" t="s">
        <v>177</v>
      </c>
      <c r="U3" s="10" t="s">
        <v>609</v>
      </c>
      <c r="V3" s="10" t="s">
        <v>177</v>
      </c>
      <c r="W3" s="10" t="s">
        <v>609</v>
      </c>
      <c r="X3" s="10" t="s">
        <v>177</v>
      </c>
      <c r="Y3" s="10" t="s">
        <v>608</v>
      </c>
      <c r="Z3" s="10" t="s">
        <v>177</v>
      </c>
      <c r="AA3" s="10" t="s">
        <v>609</v>
      </c>
      <c r="AB3" s="10" t="s">
        <v>177</v>
      </c>
      <c r="AC3" s="10" t="s">
        <v>609</v>
      </c>
      <c r="AD3" s="10" t="s">
        <v>628</v>
      </c>
      <c r="AE3" s="10" t="s">
        <v>629</v>
      </c>
      <c r="AF3" s="10" t="s">
        <v>16</v>
      </c>
      <c r="AG3" s="10" t="s">
        <v>630</v>
      </c>
      <c r="AH3" s="10" t="s">
        <v>631</v>
      </c>
      <c r="AI3" s="10" t="s">
        <v>632</v>
      </c>
      <c r="AJ3" s="10" t="s">
        <v>633</v>
      </c>
      <c r="AK3" s="10" t="s">
        <v>612</v>
      </c>
      <c r="AL3" s="10" t="s">
        <v>634</v>
      </c>
      <c r="AM3" s="10" t="s">
        <v>615</v>
      </c>
      <c r="AN3" s="10" t="s">
        <v>635</v>
      </c>
      <c r="AO3" s="10" t="s">
        <v>177</v>
      </c>
      <c r="AP3" s="10" t="s">
        <v>178</v>
      </c>
      <c r="AQ3" s="10" t="s">
        <v>636</v>
      </c>
      <c r="AR3" s="10" t="s">
        <v>637</v>
      </c>
      <c r="AS3" s="10" t="s">
        <v>638</v>
      </c>
      <c r="AT3" s="10" t="s">
        <v>100</v>
      </c>
      <c r="AU3" s="10" t="s">
        <v>301</v>
      </c>
      <c r="AV3" s="10" t="s">
        <v>639</v>
      </c>
      <c r="AW3" s="10" t="s">
        <v>640</v>
      </c>
      <c r="AX3" s="11" t="s">
        <v>641</v>
      </c>
      <c r="AY3" s="11" t="s">
        <v>642</v>
      </c>
      <c r="AZ3" s="10" t="s">
        <v>21</v>
      </c>
      <c r="BA3" s="12">
        <v>23</v>
      </c>
    </row>
    <row r="4" spans="1:53" x14ac:dyDescent="0.25">
      <c r="A4" s="6">
        <v>45799.416609918982</v>
      </c>
      <c r="B4" s="7" t="s">
        <v>177</v>
      </c>
      <c r="C4" s="7" t="s">
        <v>643</v>
      </c>
      <c r="D4" s="7" t="s">
        <v>177</v>
      </c>
      <c r="E4" s="7" t="s">
        <v>624</v>
      </c>
      <c r="F4" s="7" t="s">
        <v>644</v>
      </c>
      <c r="G4" s="7" t="s">
        <v>645</v>
      </c>
      <c r="H4" s="7" t="s">
        <v>177</v>
      </c>
      <c r="I4" s="7" t="s">
        <v>646</v>
      </c>
      <c r="J4" s="7" t="s">
        <v>647</v>
      </c>
      <c r="K4" s="7" t="s">
        <v>177</v>
      </c>
      <c r="L4" s="7" t="s">
        <v>177</v>
      </c>
      <c r="M4" s="7" t="s">
        <v>608</v>
      </c>
      <c r="N4" s="7" t="s">
        <v>177</v>
      </c>
      <c r="O4" s="7" t="s">
        <v>608</v>
      </c>
      <c r="P4" s="7" t="s">
        <v>177</v>
      </c>
      <c r="Q4" s="7" t="s">
        <v>608</v>
      </c>
      <c r="R4" s="7" t="s">
        <v>177</v>
      </c>
      <c r="S4" s="7" t="s">
        <v>608</v>
      </c>
      <c r="T4" s="7" t="s">
        <v>177</v>
      </c>
      <c r="U4" s="7" t="s">
        <v>609</v>
      </c>
      <c r="V4" s="7" t="s">
        <v>177</v>
      </c>
      <c r="W4" s="7" t="s">
        <v>609</v>
      </c>
      <c r="X4" s="7" t="s">
        <v>177</v>
      </c>
      <c r="Y4" s="7" t="s">
        <v>608</v>
      </c>
      <c r="Z4" s="7" t="s">
        <v>177</v>
      </c>
      <c r="AA4" s="7" t="s">
        <v>609</v>
      </c>
      <c r="AB4" s="7" t="s">
        <v>177</v>
      </c>
      <c r="AC4" s="7" t="s">
        <v>609</v>
      </c>
      <c r="AD4" s="7" t="s">
        <v>648</v>
      </c>
      <c r="AE4" s="7" t="s">
        <v>649</v>
      </c>
      <c r="AF4" s="7" t="s">
        <v>16</v>
      </c>
      <c r="AG4" s="7" t="s">
        <v>650</v>
      </c>
      <c r="AH4" s="7" t="s">
        <v>651</v>
      </c>
      <c r="AI4" s="7" t="s">
        <v>612</v>
      </c>
      <c r="AJ4" s="7" t="s">
        <v>652</v>
      </c>
      <c r="AK4" s="7" t="s">
        <v>612</v>
      </c>
      <c r="AL4" s="7" t="s">
        <v>653</v>
      </c>
      <c r="AM4" s="7" t="s">
        <v>612</v>
      </c>
      <c r="AN4" s="7" t="s">
        <v>654</v>
      </c>
      <c r="AO4" s="7" t="s">
        <v>177</v>
      </c>
      <c r="AP4" s="7" t="s">
        <v>178</v>
      </c>
      <c r="AQ4" s="7" t="s">
        <v>655</v>
      </c>
      <c r="AR4" s="7" t="s">
        <v>656</v>
      </c>
      <c r="AS4" s="7" t="s">
        <v>657</v>
      </c>
      <c r="AT4" s="7" t="s">
        <v>100</v>
      </c>
      <c r="AU4" s="7" t="s">
        <v>658</v>
      </c>
      <c r="AV4" s="7" t="s">
        <v>659</v>
      </c>
      <c r="AW4" s="7" t="s">
        <v>659</v>
      </c>
      <c r="AX4" s="13" t="s">
        <v>660</v>
      </c>
      <c r="AY4" s="13" t="s">
        <v>660</v>
      </c>
      <c r="AZ4" s="7" t="s">
        <v>21</v>
      </c>
      <c r="BA4" s="8">
        <v>27</v>
      </c>
    </row>
    <row r="5" spans="1:53" x14ac:dyDescent="0.25">
      <c r="A5" s="9">
        <v>45800.52197858796</v>
      </c>
      <c r="B5" s="10" t="s">
        <v>177</v>
      </c>
      <c r="C5" s="10" t="s">
        <v>661</v>
      </c>
      <c r="D5" s="10" t="s">
        <v>181</v>
      </c>
      <c r="E5" s="10"/>
      <c r="F5" s="10"/>
      <c r="G5" s="10"/>
      <c r="H5" s="10" t="s">
        <v>181</v>
      </c>
      <c r="I5" s="10"/>
      <c r="J5" s="10"/>
      <c r="K5" s="10" t="s">
        <v>181</v>
      </c>
      <c r="L5" s="10"/>
      <c r="M5" s="10"/>
      <c r="N5" s="10"/>
      <c r="O5" s="10"/>
      <c r="P5" s="10"/>
      <c r="Q5" s="10"/>
      <c r="R5" s="10"/>
      <c r="S5" s="10"/>
      <c r="T5" s="10"/>
      <c r="U5" s="10"/>
      <c r="V5" s="10"/>
      <c r="W5" s="10"/>
      <c r="X5" s="10"/>
      <c r="Y5" s="10"/>
      <c r="Z5" s="10"/>
      <c r="AA5" s="10"/>
      <c r="AB5" s="10"/>
      <c r="AC5" s="10"/>
      <c r="AD5" s="10"/>
      <c r="AE5" s="10" t="s">
        <v>662</v>
      </c>
      <c r="AF5" s="10" t="s">
        <v>16</v>
      </c>
      <c r="AG5" s="10" t="s">
        <v>663</v>
      </c>
      <c r="AH5" s="10" t="s">
        <v>364</v>
      </c>
      <c r="AI5" s="10" t="s">
        <v>632</v>
      </c>
      <c r="AJ5" s="10" t="s">
        <v>664</v>
      </c>
      <c r="AK5" s="10" t="s">
        <v>612</v>
      </c>
      <c r="AL5" s="10" t="s">
        <v>665</v>
      </c>
      <c r="AM5" s="10" t="s">
        <v>632</v>
      </c>
      <c r="AN5" s="10" t="s">
        <v>666</v>
      </c>
      <c r="AO5" s="10" t="s">
        <v>177</v>
      </c>
      <c r="AP5" s="10" t="s">
        <v>178</v>
      </c>
      <c r="AQ5" s="10" t="s">
        <v>667</v>
      </c>
      <c r="AR5" s="10" t="s">
        <v>668</v>
      </c>
      <c r="AS5" s="10" t="s">
        <v>669</v>
      </c>
      <c r="AT5" s="10" t="s">
        <v>18</v>
      </c>
      <c r="AU5" s="10" t="s">
        <v>46</v>
      </c>
      <c r="AV5" s="10" t="s">
        <v>20</v>
      </c>
      <c r="AW5" s="10" t="s">
        <v>20</v>
      </c>
      <c r="AX5" s="11" t="s">
        <v>670</v>
      </c>
      <c r="AY5" s="11" t="s">
        <v>671</v>
      </c>
      <c r="AZ5" s="10" t="s">
        <v>21</v>
      </c>
      <c r="BA5" s="12">
        <v>23</v>
      </c>
    </row>
    <row r="6" spans="1:53" x14ac:dyDescent="0.25">
      <c r="A6" s="6">
        <v>45800.526825925925</v>
      </c>
      <c r="B6" s="7" t="s">
        <v>181</v>
      </c>
      <c r="C6" s="7" t="s">
        <v>672</v>
      </c>
      <c r="D6" s="7" t="s">
        <v>181</v>
      </c>
      <c r="E6" s="7"/>
      <c r="F6" s="7"/>
      <c r="G6" s="7"/>
      <c r="H6" s="7" t="s">
        <v>181</v>
      </c>
      <c r="I6" s="7"/>
      <c r="J6" s="7"/>
      <c r="K6" s="7" t="s">
        <v>177</v>
      </c>
      <c r="L6" s="7" t="s">
        <v>177</v>
      </c>
      <c r="M6" s="7" t="s">
        <v>608</v>
      </c>
      <c r="N6" s="7" t="s">
        <v>177</v>
      </c>
      <c r="O6" s="7" t="s">
        <v>608</v>
      </c>
      <c r="P6" s="7" t="s">
        <v>177</v>
      </c>
      <c r="Q6" s="7" t="s">
        <v>608</v>
      </c>
      <c r="R6" s="7" t="s">
        <v>177</v>
      </c>
      <c r="S6" s="7" t="s">
        <v>608</v>
      </c>
      <c r="T6" s="7" t="s">
        <v>177</v>
      </c>
      <c r="U6" s="7" t="s">
        <v>609</v>
      </c>
      <c r="V6" s="7" t="s">
        <v>177</v>
      </c>
      <c r="W6" s="7" t="s">
        <v>608</v>
      </c>
      <c r="X6" s="7" t="s">
        <v>177</v>
      </c>
      <c r="Y6" s="7" t="s">
        <v>608</v>
      </c>
      <c r="Z6" s="7" t="s">
        <v>177</v>
      </c>
      <c r="AA6" s="7" t="s">
        <v>608</v>
      </c>
      <c r="AB6" s="7" t="s">
        <v>177</v>
      </c>
      <c r="AC6" s="7" t="s">
        <v>609</v>
      </c>
      <c r="AD6" s="7" t="s">
        <v>673</v>
      </c>
      <c r="AE6" s="7" t="s">
        <v>674</v>
      </c>
      <c r="AF6" s="7" t="s">
        <v>16</v>
      </c>
      <c r="AG6" s="7" t="s">
        <v>675</v>
      </c>
      <c r="AH6" s="7" t="s">
        <v>676</v>
      </c>
      <c r="AI6" s="7" t="s">
        <v>612</v>
      </c>
      <c r="AJ6" s="7" t="s">
        <v>677</v>
      </c>
      <c r="AK6" s="7" t="s">
        <v>612</v>
      </c>
      <c r="AL6" s="7" t="s">
        <v>678</v>
      </c>
      <c r="AM6" s="7" t="s">
        <v>612</v>
      </c>
      <c r="AN6" s="7" t="s">
        <v>679</v>
      </c>
      <c r="AO6" s="7" t="s">
        <v>177</v>
      </c>
      <c r="AP6" s="7" t="s">
        <v>178</v>
      </c>
      <c r="AQ6" s="7" t="s">
        <v>680</v>
      </c>
      <c r="AR6" s="7" t="s">
        <v>681</v>
      </c>
      <c r="AS6" s="7" t="s">
        <v>682</v>
      </c>
      <c r="AT6" s="7" t="s">
        <v>18</v>
      </c>
      <c r="AU6" s="7" t="s">
        <v>683</v>
      </c>
      <c r="AV6" s="7" t="s">
        <v>20</v>
      </c>
      <c r="AW6" s="7" t="s">
        <v>20</v>
      </c>
      <c r="AX6" s="13" t="s">
        <v>684</v>
      </c>
      <c r="AY6" s="13" t="s">
        <v>685</v>
      </c>
      <c r="AZ6" s="7" t="s">
        <v>21</v>
      </c>
      <c r="BA6" s="8">
        <v>23</v>
      </c>
    </row>
    <row r="7" spans="1:53" x14ac:dyDescent="0.25">
      <c r="A7" s="9">
        <v>45800.527924837967</v>
      </c>
      <c r="B7" s="10" t="s">
        <v>181</v>
      </c>
      <c r="C7" s="10" t="s">
        <v>686</v>
      </c>
      <c r="D7" s="10" t="s">
        <v>181</v>
      </c>
      <c r="E7" s="10"/>
      <c r="F7" s="10"/>
      <c r="G7" s="10"/>
      <c r="H7" s="10" t="s">
        <v>181</v>
      </c>
      <c r="I7" s="10"/>
      <c r="J7" s="10"/>
      <c r="K7" s="10" t="s">
        <v>177</v>
      </c>
      <c r="L7" s="10" t="s">
        <v>177</v>
      </c>
      <c r="M7" s="10" t="s">
        <v>608</v>
      </c>
      <c r="N7" s="10" t="s">
        <v>177</v>
      </c>
      <c r="O7" s="10" t="s">
        <v>608</v>
      </c>
      <c r="P7" s="10" t="s">
        <v>177</v>
      </c>
      <c r="Q7" s="10" t="s">
        <v>609</v>
      </c>
      <c r="R7" s="10" t="s">
        <v>177</v>
      </c>
      <c r="S7" s="10" t="s">
        <v>609</v>
      </c>
      <c r="T7" s="10" t="s">
        <v>177</v>
      </c>
      <c r="U7" s="10" t="s">
        <v>609</v>
      </c>
      <c r="V7" s="10" t="s">
        <v>177</v>
      </c>
      <c r="W7" s="10" t="s">
        <v>609</v>
      </c>
      <c r="X7" s="10" t="s">
        <v>177</v>
      </c>
      <c r="Y7" s="10" t="s">
        <v>627</v>
      </c>
      <c r="Z7" s="10" t="s">
        <v>177</v>
      </c>
      <c r="AA7" s="10" t="s">
        <v>609</v>
      </c>
      <c r="AB7" s="10" t="s">
        <v>177</v>
      </c>
      <c r="AC7" s="10" t="s">
        <v>609</v>
      </c>
      <c r="AD7" s="10" t="s">
        <v>687</v>
      </c>
      <c r="AE7" s="10" t="s">
        <v>688</v>
      </c>
      <c r="AF7" s="10" t="s">
        <v>16</v>
      </c>
      <c r="AG7" s="10" t="s">
        <v>689</v>
      </c>
      <c r="AH7" s="10" t="s">
        <v>690</v>
      </c>
      <c r="AI7" s="10" t="s">
        <v>612</v>
      </c>
      <c r="AJ7" s="10" t="s">
        <v>691</v>
      </c>
      <c r="AK7" s="10" t="s">
        <v>612</v>
      </c>
      <c r="AL7" s="10" t="s">
        <v>692</v>
      </c>
      <c r="AM7" s="10" t="s">
        <v>612</v>
      </c>
      <c r="AN7" s="10" t="s">
        <v>693</v>
      </c>
      <c r="AO7" s="10" t="s">
        <v>177</v>
      </c>
      <c r="AP7" s="10" t="s">
        <v>178</v>
      </c>
      <c r="AQ7" s="10" t="s">
        <v>694</v>
      </c>
      <c r="AR7" s="10" t="s">
        <v>695</v>
      </c>
      <c r="AS7" s="10" t="s">
        <v>696</v>
      </c>
      <c r="AT7" s="10" t="s">
        <v>18</v>
      </c>
      <c r="AU7" s="10" t="s">
        <v>697</v>
      </c>
      <c r="AV7" s="10" t="s">
        <v>20</v>
      </c>
      <c r="AW7" s="10" t="s">
        <v>135</v>
      </c>
      <c r="AX7" s="11" t="s">
        <v>698</v>
      </c>
      <c r="AY7" s="10" t="s">
        <v>364</v>
      </c>
      <c r="AZ7" s="10" t="s">
        <v>21</v>
      </c>
      <c r="BA7" s="12">
        <v>23</v>
      </c>
    </row>
    <row r="8" spans="1:53" x14ac:dyDescent="0.25">
      <c r="A8" s="6">
        <v>45800.53768760417</v>
      </c>
      <c r="B8" s="7" t="s">
        <v>181</v>
      </c>
      <c r="C8" s="7" t="s">
        <v>699</v>
      </c>
      <c r="D8" s="7" t="s">
        <v>181</v>
      </c>
      <c r="E8" s="7"/>
      <c r="F8" s="7"/>
      <c r="G8" s="7"/>
      <c r="H8" s="7" t="s">
        <v>181</v>
      </c>
      <c r="I8" s="7"/>
      <c r="J8" s="7"/>
      <c r="K8" s="7" t="s">
        <v>177</v>
      </c>
      <c r="L8" s="7" t="s">
        <v>177</v>
      </c>
      <c r="M8" s="7" t="s">
        <v>608</v>
      </c>
      <c r="N8" s="7" t="s">
        <v>181</v>
      </c>
      <c r="O8" s="7"/>
      <c r="P8" s="7" t="s">
        <v>177</v>
      </c>
      <c r="Q8" s="7" t="s">
        <v>608</v>
      </c>
      <c r="R8" s="7" t="s">
        <v>177</v>
      </c>
      <c r="S8" s="7" t="s">
        <v>608</v>
      </c>
      <c r="T8" s="7" t="s">
        <v>177</v>
      </c>
      <c r="U8" s="7" t="s">
        <v>609</v>
      </c>
      <c r="V8" s="7" t="s">
        <v>177</v>
      </c>
      <c r="W8" s="7" t="s">
        <v>608</v>
      </c>
      <c r="X8" s="7" t="s">
        <v>181</v>
      </c>
      <c r="Y8" s="7"/>
      <c r="Z8" s="7" t="s">
        <v>177</v>
      </c>
      <c r="AA8" s="7" t="s">
        <v>608</v>
      </c>
      <c r="AB8" s="7" t="s">
        <v>177</v>
      </c>
      <c r="AC8" s="7" t="s">
        <v>609</v>
      </c>
      <c r="AD8" s="7" t="s">
        <v>700</v>
      </c>
      <c r="AE8" s="7" t="s">
        <v>701</v>
      </c>
      <c r="AF8" s="7" t="s">
        <v>16</v>
      </c>
      <c r="AG8" s="7" t="s">
        <v>675</v>
      </c>
      <c r="AH8" s="7" t="s">
        <v>702</v>
      </c>
      <c r="AI8" s="7" t="s">
        <v>612</v>
      </c>
      <c r="AJ8" s="7" t="s">
        <v>703</v>
      </c>
      <c r="AK8" s="7" t="s">
        <v>612</v>
      </c>
      <c r="AL8" s="7" t="s">
        <v>704</v>
      </c>
      <c r="AM8" s="7" t="s">
        <v>632</v>
      </c>
      <c r="AN8" s="7" t="s">
        <v>705</v>
      </c>
      <c r="AO8" s="7" t="s">
        <v>177</v>
      </c>
      <c r="AP8" s="7" t="s">
        <v>178</v>
      </c>
      <c r="AQ8" s="7" t="s">
        <v>706</v>
      </c>
      <c r="AR8" s="7" t="s">
        <v>707</v>
      </c>
      <c r="AS8" s="7" t="s">
        <v>708</v>
      </c>
      <c r="AT8" s="7" t="s">
        <v>18</v>
      </c>
      <c r="AU8" s="7" t="s">
        <v>709</v>
      </c>
      <c r="AV8" s="7" t="s">
        <v>20</v>
      </c>
      <c r="AW8" s="7" t="s">
        <v>135</v>
      </c>
      <c r="AX8" s="13" t="s">
        <v>710</v>
      </c>
      <c r="AY8" s="7" t="s">
        <v>364</v>
      </c>
      <c r="AZ8" s="7" t="s">
        <v>21</v>
      </c>
      <c r="BA8" s="8">
        <v>23</v>
      </c>
    </row>
    <row r="9" spans="1:53" x14ac:dyDescent="0.25">
      <c r="A9" s="9">
        <v>45800.541289745372</v>
      </c>
      <c r="B9" s="10" t="s">
        <v>181</v>
      </c>
      <c r="C9" s="10" t="s">
        <v>699</v>
      </c>
      <c r="D9" s="10" t="s">
        <v>177</v>
      </c>
      <c r="E9" s="10" t="s">
        <v>711</v>
      </c>
      <c r="F9" s="10" t="s">
        <v>625</v>
      </c>
      <c r="G9" s="10" t="s">
        <v>712</v>
      </c>
      <c r="H9" s="10" t="s">
        <v>181</v>
      </c>
      <c r="I9" s="10"/>
      <c r="J9" s="10"/>
      <c r="K9" s="10" t="s">
        <v>177</v>
      </c>
      <c r="L9" s="10" t="s">
        <v>181</v>
      </c>
      <c r="M9" s="10"/>
      <c r="N9" s="10" t="s">
        <v>181</v>
      </c>
      <c r="O9" s="10"/>
      <c r="P9" s="10" t="s">
        <v>177</v>
      </c>
      <c r="Q9" s="10" t="s">
        <v>609</v>
      </c>
      <c r="R9" s="10" t="s">
        <v>177</v>
      </c>
      <c r="S9" s="10" t="s">
        <v>609</v>
      </c>
      <c r="T9" s="10" t="s">
        <v>177</v>
      </c>
      <c r="U9" s="10" t="s">
        <v>609</v>
      </c>
      <c r="V9" s="10" t="s">
        <v>177</v>
      </c>
      <c r="W9" s="10" t="s">
        <v>608</v>
      </c>
      <c r="X9" s="10" t="s">
        <v>181</v>
      </c>
      <c r="Y9" s="10"/>
      <c r="Z9" s="10" t="s">
        <v>177</v>
      </c>
      <c r="AA9" s="10" t="s">
        <v>608</v>
      </c>
      <c r="AB9" s="10" t="s">
        <v>177</v>
      </c>
      <c r="AC9" s="10" t="s">
        <v>609</v>
      </c>
      <c r="AD9" s="10" t="s">
        <v>713</v>
      </c>
      <c r="AE9" s="10" t="s">
        <v>714</v>
      </c>
      <c r="AF9" s="10" t="s">
        <v>16</v>
      </c>
      <c r="AG9" s="10" t="s">
        <v>715</v>
      </c>
      <c r="AH9" s="10" t="s">
        <v>364</v>
      </c>
      <c r="AI9" s="10" t="s">
        <v>612</v>
      </c>
      <c r="AJ9" s="10" t="s">
        <v>716</v>
      </c>
      <c r="AK9" s="10" t="s">
        <v>612</v>
      </c>
      <c r="AL9" s="10" t="s">
        <v>717</v>
      </c>
      <c r="AM9" s="10" t="s">
        <v>632</v>
      </c>
      <c r="AN9" s="10" t="s">
        <v>718</v>
      </c>
      <c r="AO9" s="10" t="s">
        <v>177</v>
      </c>
      <c r="AP9" s="10" t="s">
        <v>178</v>
      </c>
      <c r="AQ9" s="10" t="s">
        <v>719</v>
      </c>
      <c r="AR9" s="10" t="s">
        <v>720</v>
      </c>
      <c r="AS9" s="10" t="s">
        <v>721</v>
      </c>
      <c r="AT9" s="10" t="s">
        <v>18</v>
      </c>
      <c r="AU9" s="10" t="s">
        <v>342</v>
      </c>
      <c r="AV9" s="10" t="s">
        <v>20</v>
      </c>
      <c r="AW9" s="10" t="s">
        <v>135</v>
      </c>
      <c r="AX9" s="11" t="s">
        <v>722</v>
      </c>
      <c r="AY9" s="10" t="s">
        <v>364</v>
      </c>
      <c r="AZ9" s="10" t="s">
        <v>21</v>
      </c>
      <c r="BA9" s="12">
        <v>23</v>
      </c>
    </row>
    <row r="10" spans="1:53" x14ac:dyDescent="0.25">
      <c r="A10" s="6">
        <v>45800.546626944444</v>
      </c>
      <c r="B10" s="7" t="s">
        <v>181</v>
      </c>
      <c r="C10" s="7" t="s">
        <v>699</v>
      </c>
      <c r="D10" s="7" t="s">
        <v>181</v>
      </c>
      <c r="E10" s="7"/>
      <c r="F10" s="7"/>
      <c r="G10" s="7"/>
      <c r="H10" s="7" t="s">
        <v>181</v>
      </c>
      <c r="I10" s="7"/>
      <c r="J10" s="7"/>
      <c r="K10" s="7" t="s">
        <v>177</v>
      </c>
      <c r="L10" s="7" t="s">
        <v>177</v>
      </c>
      <c r="M10" s="7" t="s">
        <v>609</v>
      </c>
      <c r="N10" s="7" t="s">
        <v>177</v>
      </c>
      <c r="O10" s="7" t="s">
        <v>609</v>
      </c>
      <c r="P10" s="7" t="s">
        <v>177</v>
      </c>
      <c r="Q10" s="7" t="s">
        <v>609</v>
      </c>
      <c r="R10" s="7" t="s">
        <v>177</v>
      </c>
      <c r="S10" s="7" t="s">
        <v>609</v>
      </c>
      <c r="T10" s="7" t="s">
        <v>177</v>
      </c>
      <c r="U10" s="7" t="s">
        <v>609</v>
      </c>
      <c r="V10" s="7" t="s">
        <v>177</v>
      </c>
      <c r="W10" s="7" t="s">
        <v>609</v>
      </c>
      <c r="X10" s="7" t="s">
        <v>181</v>
      </c>
      <c r="Y10" s="7"/>
      <c r="Z10" s="7" t="s">
        <v>177</v>
      </c>
      <c r="AA10" s="7" t="s">
        <v>609</v>
      </c>
      <c r="AB10" s="7" t="s">
        <v>177</v>
      </c>
      <c r="AC10" s="7" t="s">
        <v>609</v>
      </c>
      <c r="AD10" s="7" t="s">
        <v>723</v>
      </c>
      <c r="AE10" s="7" t="s">
        <v>724</v>
      </c>
      <c r="AF10" s="7" t="s">
        <v>16</v>
      </c>
      <c r="AG10" s="7" t="s">
        <v>675</v>
      </c>
      <c r="AH10" s="7" t="s">
        <v>364</v>
      </c>
      <c r="AI10" s="7" t="s">
        <v>612</v>
      </c>
      <c r="AJ10" s="7" t="s">
        <v>725</v>
      </c>
      <c r="AK10" s="7" t="s">
        <v>612</v>
      </c>
      <c r="AL10" s="7" t="s">
        <v>726</v>
      </c>
      <c r="AM10" s="7" t="s">
        <v>612</v>
      </c>
      <c r="AN10" s="7" t="s">
        <v>727</v>
      </c>
      <c r="AO10" s="7" t="s">
        <v>177</v>
      </c>
      <c r="AP10" s="7" t="s">
        <v>178</v>
      </c>
      <c r="AQ10" s="7" t="s">
        <v>728</v>
      </c>
      <c r="AR10" s="7" t="s">
        <v>729</v>
      </c>
      <c r="AS10" s="7" t="s">
        <v>730</v>
      </c>
      <c r="AT10" s="7" t="s">
        <v>18</v>
      </c>
      <c r="AU10" s="7" t="s">
        <v>88</v>
      </c>
      <c r="AV10" s="7" t="s">
        <v>135</v>
      </c>
      <c r="AW10" s="7" t="s">
        <v>20</v>
      </c>
      <c r="AX10" s="13" t="s">
        <v>731</v>
      </c>
      <c r="AY10" s="7" t="s">
        <v>364</v>
      </c>
      <c r="AZ10" s="7" t="s">
        <v>21</v>
      </c>
      <c r="BA10" s="8">
        <v>23</v>
      </c>
    </row>
    <row r="11" spans="1:53" x14ac:dyDescent="0.25">
      <c r="A11" s="9">
        <v>45800.548732581017</v>
      </c>
      <c r="B11" s="10" t="s">
        <v>181</v>
      </c>
      <c r="C11" s="10" t="s">
        <v>699</v>
      </c>
      <c r="D11" s="10" t="s">
        <v>181</v>
      </c>
      <c r="E11" s="10"/>
      <c r="F11" s="10"/>
      <c r="G11" s="10"/>
      <c r="H11" s="10" t="s">
        <v>181</v>
      </c>
      <c r="I11" s="10"/>
      <c r="J11" s="10"/>
      <c r="K11" s="10" t="s">
        <v>177</v>
      </c>
      <c r="L11" s="10" t="s">
        <v>177</v>
      </c>
      <c r="M11" s="10" t="s">
        <v>608</v>
      </c>
      <c r="N11" s="10" t="s">
        <v>181</v>
      </c>
      <c r="O11" s="10"/>
      <c r="P11" s="10" t="s">
        <v>177</v>
      </c>
      <c r="Q11" s="10" t="s">
        <v>608</v>
      </c>
      <c r="R11" s="10" t="s">
        <v>177</v>
      </c>
      <c r="S11" s="10" t="s">
        <v>608</v>
      </c>
      <c r="T11" s="10" t="s">
        <v>177</v>
      </c>
      <c r="U11" s="10" t="s">
        <v>609</v>
      </c>
      <c r="V11" s="10" t="s">
        <v>177</v>
      </c>
      <c r="W11" s="10" t="s">
        <v>609</v>
      </c>
      <c r="X11" s="10" t="s">
        <v>177</v>
      </c>
      <c r="Y11" s="10" t="s">
        <v>608</v>
      </c>
      <c r="Z11" s="10" t="s">
        <v>177</v>
      </c>
      <c r="AA11" s="10" t="s">
        <v>609</v>
      </c>
      <c r="AB11" s="10" t="s">
        <v>177</v>
      </c>
      <c r="AC11" s="10" t="s">
        <v>609</v>
      </c>
      <c r="AD11" s="10" t="s">
        <v>732</v>
      </c>
      <c r="AE11" s="10" t="s">
        <v>733</v>
      </c>
      <c r="AF11" s="10" t="s">
        <v>16</v>
      </c>
      <c r="AG11" s="10" t="s">
        <v>734</v>
      </c>
      <c r="AH11" s="10" t="s">
        <v>735</v>
      </c>
      <c r="AI11" s="10" t="s">
        <v>612</v>
      </c>
      <c r="AJ11" s="10" t="s">
        <v>736</v>
      </c>
      <c r="AK11" s="10" t="s">
        <v>612</v>
      </c>
      <c r="AL11" s="10" t="s">
        <v>737</v>
      </c>
      <c r="AM11" s="10" t="s">
        <v>612</v>
      </c>
      <c r="AN11" s="10" t="s">
        <v>738</v>
      </c>
      <c r="AO11" s="10" t="s">
        <v>177</v>
      </c>
      <c r="AP11" s="10" t="s">
        <v>178</v>
      </c>
      <c r="AQ11" s="10" t="s">
        <v>739</v>
      </c>
      <c r="AR11" s="10" t="s">
        <v>740</v>
      </c>
      <c r="AS11" s="10" t="s">
        <v>741</v>
      </c>
      <c r="AT11" s="10" t="s">
        <v>18</v>
      </c>
      <c r="AU11" s="10" t="s">
        <v>742</v>
      </c>
      <c r="AV11" s="10" t="s">
        <v>20</v>
      </c>
      <c r="AW11" s="10" t="s">
        <v>135</v>
      </c>
      <c r="AX11" s="11" t="s">
        <v>671</v>
      </c>
      <c r="AY11" s="10" t="s">
        <v>364</v>
      </c>
      <c r="AZ11" s="10" t="s">
        <v>21</v>
      </c>
      <c r="BA11" s="12">
        <v>23</v>
      </c>
    </row>
    <row r="12" spans="1:53" x14ac:dyDescent="0.25">
      <c r="A12" s="6">
        <v>45800.561366956019</v>
      </c>
      <c r="B12" s="7" t="s">
        <v>181</v>
      </c>
      <c r="C12" s="7" t="s">
        <v>699</v>
      </c>
      <c r="D12" s="7" t="s">
        <v>181</v>
      </c>
      <c r="E12" s="7"/>
      <c r="F12" s="7"/>
      <c r="G12" s="7"/>
      <c r="H12" s="7" t="s">
        <v>181</v>
      </c>
      <c r="I12" s="7"/>
      <c r="J12" s="7"/>
      <c r="K12" s="7" t="s">
        <v>177</v>
      </c>
      <c r="L12" s="7" t="s">
        <v>181</v>
      </c>
      <c r="M12" s="7"/>
      <c r="N12" s="7" t="s">
        <v>181</v>
      </c>
      <c r="O12" s="7"/>
      <c r="P12" s="7" t="s">
        <v>177</v>
      </c>
      <c r="Q12" s="7" t="s">
        <v>608</v>
      </c>
      <c r="R12" s="7" t="s">
        <v>181</v>
      </c>
      <c r="S12" s="7"/>
      <c r="T12" s="7" t="s">
        <v>177</v>
      </c>
      <c r="U12" s="7" t="s">
        <v>608</v>
      </c>
      <c r="V12" s="7" t="s">
        <v>177</v>
      </c>
      <c r="W12" s="7" t="s">
        <v>608</v>
      </c>
      <c r="X12" s="7" t="s">
        <v>181</v>
      </c>
      <c r="Y12" s="7"/>
      <c r="Z12" s="7" t="s">
        <v>177</v>
      </c>
      <c r="AA12" s="7" t="s">
        <v>608</v>
      </c>
      <c r="AB12" s="7" t="s">
        <v>177</v>
      </c>
      <c r="AC12" s="7" t="s">
        <v>608</v>
      </c>
      <c r="AD12" s="7" t="s">
        <v>743</v>
      </c>
      <c r="AE12" s="7" t="s">
        <v>744</v>
      </c>
      <c r="AF12" s="7" t="s">
        <v>16</v>
      </c>
      <c r="AG12" s="7" t="s">
        <v>630</v>
      </c>
      <c r="AH12" s="7" t="s">
        <v>364</v>
      </c>
      <c r="AI12" s="7" t="s">
        <v>612</v>
      </c>
      <c r="AJ12" s="7" t="s">
        <v>745</v>
      </c>
      <c r="AK12" s="7" t="s">
        <v>612</v>
      </c>
      <c r="AL12" s="7" t="s">
        <v>746</v>
      </c>
      <c r="AM12" s="7" t="s">
        <v>632</v>
      </c>
      <c r="AN12" s="7" t="s">
        <v>747</v>
      </c>
      <c r="AO12" s="7" t="s">
        <v>177</v>
      </c>
      <c r="AP12" s="7" t="s">
        <v>178</v>
      </c>
      <c r="AQ12" s="7" t="s">
        <v>748</v>
      </c>
      <c r="AR12" s="7" t="s">
        <v>749</v>
      </c>
      <c r="AS12" s="7" t="s">
        <v>750</v>
      </c>
      <c r="AT12" s="7" t="s">
        <v>18</v>
      </c>
      <c r="AU12" s="7" t="s">
        <v>751</v>
      </c>
      <c r="AV12" s="7" t="s">
        <v>60</v>
      </c>
      <c r="AW12" s="7" t="s">
        <v>20</v>
      </c>
      <c r="AX12" s="13" t="s">
        <v>731</v>
      </c>
      <c r="AY12" s="7" t="s">
        <v>364</v>
      </c>
      <c r="AZ12" s="7" t="s">
        <v>21</v>
      </c>
      <c r="BA12" s="8">
        <v>24</v>
      </c>
    </row>
    <row r="13" spans="1:53" x14ac:dyDescent="0.25">
      <c r="A13" s="9">
        <v>45800.586228333334</v>
      </c>
      <c r="B13" s="10" t="s">
        <v>181</v>
      </c>
      <c r="C13" s="10" t="s">
        <v>752</v>
      </c>
      <c r="D13" s="10" t="s">
        <v>181</v>
      </c>
      <c r="E13" s="10"/>
      <c r="F13" s="10"/>
      <c r="G13" s="10"/>
      <c r="H13" s="10" t="s">
        <v>181</v>
      </c>
      <c r="I13" s="10"/>
      <c r="J13" s="10"/>
      <c r="K13" s="10" t="s">
        <v>177</v>
      </c>
      <c r="L13" s="10" t="s">
        <v>181</v>
      </c>
      <c r="M13" s="10"/>
      <c r="N13" s="10" t="s">
        <v>177</v>
      </c>
      <c r="O13" s="10" t="s">
        <v>608</v>
      </c>
      <c r="P13" s="10" t="s">
        <v>181</v>
      </c>
      <c r="Q13" s="10"/>
      <c r="R13" s="10" t="s">
        <v>181</v>
      </c>
      <c r="S13" s="10"/>
      <c r="T13" s="10" t="s">
        <v>177</v>
      </c>
      <c r="U13" s="10" t="s">
        <v>608</v>
      </c>
      <c r="V13" s="10" t="s">
        <v>177</v>
      </c>
      <c r="W13" s="10" t="s">
        <v>609</v>
      </c>
      <c r="X13" s="10" t="s">
        <v>177</v>
      </c>
      <c r="Y13" s="10" t="s">
        <v>627</v>
      </c>
      <c r="Z13" s="10" t="s">
        <v>177</v>
      </c>
      <c r="AA13" s="10" t="s">
        <v>608</v>
      </c>
      <c r="AB13" s="10" t="s">
        <v>177</v>
      </c>
      <c r="AC13" s="10" t="s">
        <v>609</v>
      </c>
      <c r="AD13" s="10" t="s">
        <v>753</v>
      </c>
      <c r="AE13" s="10" t="s">
        <v>754</v>
      </c>
      <c r="AF13" s="10" t="s">
        <v>16</v>
      </c>
      <c r="AG13" s="10" t="s">
        <v>630</v>
      </c>
      <c r="AH13" s="10" t="s">
        <v>755</v>
      </c>
      <c r="AI13" s="10" t="s">
        <v>612</v>
      </c>
      <c r="AJ13" s="10" t="s">
        <v>756</v>
      </c>
      <c r="AK13" s="10" t="s">
        <v>612</v>
      </c>
      <c r="AL13" s="10" t="s">
        <v>757</v>
      </c>
      <c r="AM13" s="10" t="s">
        <v>612</v>
      </c>
      <c r="AN13" s="10" t="s">
        <v>758</v>
      </c>
      <c r="AO13" s="10" t="s">
        <v>177</v>
      </c>
      <c r="AP13" s="10" t="s">
        <v>178</v>
      </c>
      <c r="AQ13" s="10" t="s">
        <v>759</v>
      </c>
      <c r="AR13" s="10" t="s">
        <v>760</v>
      </c>
      <c r="AS13" s="10" t="s">
        <v>761</v>
      </c>
      <c r="AT13" s="10" t="s">
        <v>18</v>
      </c>
      <c r="AU13" s="10" t="s">
        <v>762</v>
      </c>
      <c r="AV13" s="10" t="s">
        <v>60</v>
      </c>
      <c r="AW13" s="10" t="s">
        <v>60</v>
      </c>
      <c r="AX13" s="11" t="s">
        <v>763</v>
      </c>
      <c r="AY13" s="10" t="s">
        <v>364</v>
      </c>
      <c r="AZ13" s="10" t="s">
        <v>21</v>
      </c>
      <c r="BA13" s="12">
        <v>25</v>
      </c>
    </row>
    <row r="14" spans="1:53" x14ac:dyDescent="0.25">
      <c r="A14" s="6">
        <v>45800.596487569448</v>
      </c>
      <c r="B14" s="7" t="s">
        <v>181</v>
      </c>
      <c r="C14" s="7" t="s">
        <v>764</v>
      </c>
      <c r="D14" s="7" t="s">
        <v>181</v>
      </c>
      <c r="E14" s="7"/>
      <c r="F14" s="7"/>
      <c r="G14" s="7"/>
      <c r="H14" s="7" t="s">
        <v>181</v>
      </c>
      <c r="I14" s="7"/>
      <c r="J14" s="7"/>
      <c r="K14" s="7" t="s">
        <v>177</v>
      </c>
      <c r="L14" s="7" t="s">
        <v>177</v>
      </c>
      <c r="M14" s="7" t="s">
        <v>608</v>
      </c>
      <c r="N14" s="7" t="s">
        <v>177</v>
      </c>
      <c r="O14" s="7" t="s">
        <v>608</v>
      </c>
      <c r="P14" s="7" t="s">
        <v>181</v>
      </c>
      <c r="Q14" s="7"/>
      <c r="R14" s="7" t="s">
        <v>181</v>
      </c>
      <c r="S14" s="7"/>
      <c r="T14" s="7" t="s">
        <v>177</v>
      </c>
      <c r="U14" s="7" t="s">
        <v>609</v>
      </c>
      <c r="V14" s="7" t="s">
        <v>177</v>
      </c>
      <c r="W14" s="7" t="s">
        <v>608</v>
      </c>
      <c r="X14" s="7" t="s">
        <v>181</v>
      </c>
      <c r="Y14" s="7"/>
      <c r="Z14" s="7" t="s">
        <v>177</v>
      </c>
      <c r="AA14" s="7" t="s">
        <v>609</v>
      </c>
      <c r="AB14" s="7" t="s">
        <v>177</v>
      </c>
      <c r="AC14" s="7" t="s">
        <v>609</v>
      </c>
      <c r="AD14" s="7" t="s">
        <v>765</v>
      </c>
      <c r="AE14" s="7" t="s">
        <v>766</v>
      </c>
      <c r="AF14" s="7" t="s">
        <v>16</v>
      </c>
      <c r="AG14" s="7" t="s">
        <v>663</v>
      </c>
      <c r="AH14" s="7" t="s">
        <v>767</v>
      </c>
      <c r="AI14" s="7" t="s">
        <v>612</v>
      </c>
      <c r="AJ14" s="7" t="s">
        <v>768</v>
      </c>
      <c r="AK14" s="7" t="s">
        <v>612</v>
      </c>
      <c r="AL14" s="7" t="s">
        <v>769</v>
      </c>
      <c r="AM14" s="7" t="s">
        <v>612</v>
      </c>
      <c r="AN14" s="7" t="s">
        <v>770</v>
      </c>
      <c r="AO14" s="7" t="s">
        <v>177</v>
      </c>
      <c r="AP14" s="7" t="s">
        <v>178</v>
      </c>
      <c r="AQ14" s="7" t="s">
        <v>771</v>
      </c>
      <c r="AR14" s="7" t="s">
        <v>772</v>
      </c>
      <c r="AS14" s="7" t="s">
        <v>773</v>
      </c>
      <c r="AT14" s="7" t="s">
        <v>18</v>
      </c>
      <c r="AU14" s="7" t="s">
        <v>774</v>
      </c>
      <c r="AV14" s="7" t="s">
        <v>20</v>
      </c>
      <c r="AW14" s="7" t="s">
        <v>135</v>
      </c>
      <c r="AX14" s="13" t="s">
        <v>775</v>
      </c>
      <c r="AY14" s="7" t="s">
        <v>776</v>
      </c>
      <c r="AZ14" s="7" t="s">
        <v>34</v>
      </c>
      <c r="BA14" s="8" t="s">
        <v>777</v>
      </c>
    </row>
    <row r="15" spans="1:53" x14ac:dyDescent="0.25">
      <c r="A15" s="9">
        <v>45800.600897847224</v>
      </c>
      <c r="B15" s="10" t="s">
        <v>177</v>
      </c>
      <c r="C15" s="10" t="s">
        <v>661</v>
      </c>
      <c r="D15" s="10" t="s">
        <v>181</v>
      </c>
      <c r="E15" s="10"/>
      <c r="F15" s="10"/>
      <c r="G15" s="10"/>
      <c r="H15" s="10" t="s">
        <v>181</v>
      </c>
      <c r="I15" s="10"/>
      <c r="J15" s="10"/>
      <c r="K15" s="10" t="s">
        <v>177</v>
      </c>
      <c r="L15" s="10" t="s">
        <v>181</v>
      </c>
      <c r="M15" s="10"/>
      <c r="N15" s="10" t="s">
        <v>181</v>
      </c>
      <c r="O15" s="10"/>
      <c r="P15" s="10" t="s">
        <v>177</v>
      </c>
      <c r="Q15" s="10" t="s">
        <v>608</v>
      </c>
      <c r="R15" s="10" t="s">
        <v>177</v>
      </c>
      <c r="S15" s="10" t="s">
        <v>608</v>
      </c>
      <c r="T15" s="10" t="s">
        <v>177</v>
      </c>
      <c r="U15" s="10" t="s">
        <v>608</v>
      </c>
      <c r="V15" s="10" t="s">
        <v>181</v>
      </c>
      <c r="W15" s="10"/>
      <c r="X15" s="10" t="s">
        <v>181</v>
      </c>
      <c r="Y15" s="10"/>
      <c r="Z15" s="10" t="s">
        <v>177</v>
      </c>
      <c r="AA15" s="10" t="s">
        <v>608</v>
      </c>
      <c r="AB15" s="10" t="s">
        <v>177</v>
      </c>
      <c r="AC15" s="10" t="s">
        <v>609</v>
      </c>
      <c r="AD15" s="10" t="s">
        <v>778</v>
      </c>
      <c r="AE15" s="10" t="s">
        <v>779</v>
      </c>
      <c r="AF15" s="10" t="s">
        <v>16</v>
      </c>
      <c r="AG15" s="10" t="s">
        <v>780</v>
      </c>
      <c r="AH15" s="10" t="s">
        <v>364</v>
      </c>
      <c r="AI15" s="10" t="s">
        <v>612</v>
      </c>
      <c r="AJ15" s="10" t="s">
        <v>781</v>
      </c>
      <c r="AK15" s="10" t="s">
        <v>612</v>
      </c>
      <c r="AL15" s="10" t="s">
        <v>782</v>
      </c>
      <c r="AM15" s="10" t="s">
        <v>612</v>
      </c>
      <c r="AN15" s="10" t="s">
        <v>783</v>
      </c>
      <c r="AO15" s="10" t="s">
        <v>177</v>
      </c>
      <c r="AP15" s="10" t="s">
        <v>178</v>
      </c>
      <c r="AQ15" s="10" t="s">
        <v>784</v>
      </c>
      <c r="AR15" s="10" t="s">
        <v>785</v>
      </c>
      <c r="AS15" s="10" t="s">
        <v>786</v>
      </c>
      <c r="AT15" s="10" t="s">
        <v>18</v>
      </c>
      <c r="AU15" s="10" t="s">
        <v>513</v>
      </c>
      <c r="AV15" s="10" t="s">
        <v>20</v>
      </c>
      <c r="AW15" s="10" t="s">
        <v>20</v>
      </c>
      <c r="AX15" s="11" t="s">
        <v>731</v>
      </c>
      <c r="AY15" s="11" t="s">
        <v>787</v>
      </c>
      <c r="AZ15" s="10" t="s">
        <v>21</v>
      </c>
      <c r="BA15" s="12">
        <v>23</v>
      </c>
    </row>
    <row r="16" spans="1:53" x14ac:dyDescent="0.25">
      <c r="A16" s="6">
        <v>45800.6060759838</v>
      </c>
      <c r="B16" s="7" t="s">
        <v>181</v>
      </c>
      <c r="C16" s="7" t="s">
        <v>699</v>
      </c>
      <c r="D16" s="7" t="s">
        <v>181</v>
      </c>
      <c r="E16" s="7"/>
      <c r="F16" s="7"/>
      <c r="G16" s="7"/>
      <c r="H16" s="7" t="s">
        <v>181</v>
      </c>
      <c r="I16" s="7"/>
      <c r="J16" s="7"/>
      <c r="K16" s="7" t="s">
        <v>181</v>
      </c>
      <c r="L16" s="7"/>
      <c r="M16" s="7"/>
      <c r="N16" s="7"/>
      <c r="O16" s="7"/>
      <c r="P16" s="7"/>
      <c r="Q16" s="7"/>
      <c r="R16" s="7"/>
      <c r="S16" s="7"/>
      <c r="T16" s="7"/>
      <c r="U16" s="7"/>
      <c r="V16" s="7"/>
      <c r="W16" s="7"/>
      <c r="X16" s="7"/>
      <c r="Y16" s="7"/>
      <c r="Z16" s="7"/>
      <c r="AA16" s="7"/>
      <c r="AB16" s="7"/>
      <c r="AC16" s="7"/>
      <c r="AD16" s="7"/>
      <c r="AE16" s="7" t="s">
        <v>788</v>
      </c>
      <c r="AF16" s="7" t="s">
        <v>16</v>
      </c>
      <c r="AG16" s="7" t="s">
        <v>789</v>
      </c>
      <c r="AH16" s="7" t="s">
        <v>364</v>
      </c>
      <c r="AI16" s="7" t="s">
        <v>612</v>
      </c>
      <c r="AJ16" s="7" t="s">
        <v>790</v>
      </c>
      <c r="AK16" s="7" t="s">
        <v>612</v>
      </c>
      <c r="AL16" s="7" t="s">
        <v>791</v>
      </c>
      <c r="AM16" s="7" t="s">
        <v>612</v>
      </c>
      <c r="AN16" s="7" t="s">
        <v>792</v>
      </c>
      <c r="AO16" s="7" t="s">
        <v>177</v>
      </c>
      <c r="AP16" s="7" t="s">
        <v>178</v>
      </c>
      <c r="AQ16" s="7" t="s">
        <v>793</v>
      </c>
      <c r="AR16" s="7" t="s">
        <v>794</v>
      </c>
      <c r="AS16" s="7" t="s">
        <v>795</v>
      </c>
      <c r="AT16" s="7" t="s">
        <v>18</v>
      </c>
      <c r="AU16" s="7" t="s">
        <v>796</v>
      </c>
      <c r="AV16" s="7" t="s">
        <v>20</v>
      </c>
      <c r="AW16" s="7" t="s">
        <v>135</v>
      </c>
      <c r="AX16" s="13" t="s">
        <v>797</v>
      </c>
      <c r="AY16" s="7" t="s">
        <v>364</v>
      </c>
      <c r="AZ16" s="7" t="s">
        <v>34</v>
      </c>
      <c r="BA16" s="8">
        <v>23</v>
      </c>
    </row>
    <row r="17" spans="1:53" x14ac:dyDescent="0.25">
      <c r="A17" s="9">
        <v>45800.609111134254</v>
      </c>
      <c r="B17" s="10" t="s">
        <v>181</v>
      </c>
      <c r="C17" s="10" t="s">
        <v>798</v>
      </c>
      <c r="D17" s="10" t="s">
        <v>181</v>
      </c>
      <c r="E17" s="10"/>
      <c r="F17" s="10"/>
      <c r="G17" s="10"/>
      <c r="H17" s="10" t="s">
        <v>181</v>
      </c>
      <c r="I17" s="10"/>
      <c r="J17" s="10"/>
      <c r="K17" s="10" t="s">
        <v>177</v>
      </c>
      <c r="L17" s="10" t="s">
        <v>177</v>
      </c>
      <c r="M17" s="10" t="s">
        <v>608</v>
      </c>
      <c r="N17" s="10" t="s">
        <v>177</v>
      </c>
      <c r="O17" s="10" t="s">
        <v>608</v>
      </c>
      <c r="P17" s="10" t="s">
        <v>181</v>
      </c>
      <c r="Q17" s="10"/>
      <c r="R17" s="10" t="s">
        <v>181</v>
      </c>
      <c r="S17" s="10"/>
      <c r="T17" s="10" t="s">
        <v>177</v>
      </c>
      <c r="U17" s="10" t="s">
        <v>608</v>
      </c>
      <c r="V17" s="10" t="s">
        <v>177</v>
      </c>
      <c r="W17" s="10" t="s">
        <v>609</v>
      </c>
      <c r="X17" s="10" t="s">
        <v>177</v>
      </c>
      <c r="Y17" s="10" t="s">
        <v>608</v>
      </c>
      <c r="Z17" s="10" t="s">
        <v>177</v>
      </c>
      <c r="AA17" s="10" t="s">
        <v>609</v>
      </c>
      <c r="AB17" s="10" t="s">
        <v>177</v>
      </c>
      <c r="AC17" s="10" t="s">
        <v>609</v>
      </c>
      <c r="AD17" s="10" t="s">
        <v>700</v>
      </c>
      <c r="AE17" s="10" t="s">
        <v>799</v>
      </c>
      <c r="AF17" s="10" t="s">
        <v>16</v>
      </c>
      <c r="AG17" s="10" t="s">
        <v>800</v>
      </c>
      <c r="AH17" s="10" t="s">
        <v>429</v>
      </c>
      <c r="AI17" s="10" t="s">
        <v>612</v>
      </c>
      <c r="AJ17" s="10" t="s">
        <v>801</v>
      </c>
      <c r="AK17" s="10" t="s">
        <v>612</v>
      </c>
      <c r="AL17" s="10" t="s">
        <v>802</v>
      </c>
      <c r="AM17" s="10" t="s">
        <v>612</v>
      </c>
      <c r="AN17" s="10" t="s">
        <v>803</v>
      </c>
      <c r="AO17" s="10" t="s">
        <v>177</v>
      </c>
      <c r="AP17" s="10" t="s">
        <v>178</v>
      </c>
      <c r="AQ17" s="10" t="s">
        <v>804</v>
      </c>
      <c r="AR17" s="10" t="s">
        <v>805</v>
      </c>
      <c r="AS17" s="10" t="s">
        <v>806</v>
      </c>
      <c r="AT17" s="10" t="s">
        <v>18</v>
      </c>
      <c r="AU17" s="10" t="s">
        <v>59</v>
      </c>
      <c r="AV17" s="10" t="s">
        <v>135</v>
      </c>
      <c r="AW17" s="10" t="s">
        <v>20</v>
      </c>
      <c r="AX17" s="10" t="s">
        <v>807</v>
      </c>
      <c r="AY17" s="10" t="s">
        <v>364</v>
      </c>
      <c r="AZ17" s="10" t="s">
        <v>34</v>
      </c>
      <c r="BA17" s="12">
        <v>23</v>
      </c>
    </row>
    <row r="18" spans="1:53" x14ac:dyDescent="0.25">
      <c r="A18" s="6">
        <v>45800.60938282407</v>
      </c>
      <c r="B18" s="7" t="s">
        <v>181</v>
      </c>
      <c r="C18" s="7" t="s">
        <v>699</v>
      </c>
      <c r="D18" s="7" t="s">
        <v>177</v>
      </c>
      <c r="E18" s="7" t="s">
        <v>624</v>
      </c>
      <c r="F18" s="7" t="s">
        <v>625</v>
      </c>
      <c r="G18" s="7" t="s">
        <v>808</v>
      </c>
      <c r="H18" s="7" t="s">
        <v>181</v>
      </c>
      <c r="I18" s="7"/>
      <c r="J18" s="7"/>
      <c r="K18" s="7" t="s">
        <v>177</v>
      </c>
      <c r="L18" s="7" t="s">
        <v>181</v>
      </c>
      <c r="M18" s="7"/>
      <c r="N18" s="7" t="s">
        <v>181</v>
      </c>
      <c r="O18" s="7"/>
      <c r="P18" s="7" t="s">
        <v>177</v>
      </c>
      <c r="Q18" s="7" t="s">
        <v>609</v>
      </c>
      <c r="R18" s="7" t="s">
        <v>181</v>
      </c>
      <c r="S18" s="7"/>
      <c r="T18" s="7" t="s">
        <v>177</v>
      </c>
      <c r="U18" s="7" t="s">
        <v>609</v>
      </c>
      <c r="V18" s="7" t="s">
        <v>177</v>
      </c>
      <c r="W18" s="7" t="s">
        <v>609</v>
      </c>
      <c r="X18" s="7" t="s">
        <v>181</v>
      </c>
      <c r="Y18" s="7"/>
      <c r="Z18" s="7" t="s">
        <v>177</v>
      </c>
      <c r="AA18" s="7" t="s">
        <v>609</v>
      </c>
      <c r="AB18" s="7" t="s">
        <v>177</v>
      </c>
      <c r="AC18" s="7" t="s">
        <v>609</v>
      </c>
      <c r="AD18" s="7" t="s">
        <v>743</v>
      </c>
      <c r="AE18" s="7" t="s">
        <v>809</v>
      </c>
      <c r="AF18" s="7" t="s">
        <v>16</v>
      </c>
      <c r="AG18" s="7" t="s">
        <v>630</v>
      </c>
      <c r="AH18" s="7" t="s">
        <v>810</v>
      </c>
      <c r="AI18" s="7" t="s">
        <v>612</v>
      </c>
      <c r="AJ18" s="7" t="s">
        <v>811</v>
      </c>
      <c r="AK18" s="7" t="s">
        <v>612</v>
      </c>
      <c r="AL18" s="7" t="s">
        <v>812</v>
      </c>
      <c r="AM18" s="7" t="s">
        <v>612</v>
      </c>
      <c r="AN18" s="7" t="s">
        <v>813</v>
      </c>
      <c r="AO18" s="7" t="s">
        <v>177</v>
      </c>
      <c r="AP18" s="7" t="s">
        <v>178</v>
      </c>
      <c r="AQ18" s="7" t="s">
        <v>814</v>
      </c>
      <c r="AR18" s="7" t="s">
        <v>815</v>
      </c>
      <c r="AS18" s="7" t="s">
        <v>816</v>
      </c>
      <c r="AT18" s="7" t="s">
        <v>18</v>
      </c>
      <c r="AU18" s="7" t="s">
        <v>513</v>
      </c>
      <c r="AV18" s="7" t="s">
        <v>20</v>
      </c>
      <c r="AW18" s="7" t="s">
        <v>135</v>
      </c>
      <c r="AX18" s="13" t="s">
        <v>722</v>
      </c>
      <c r="AY18" s="7" t="s">
        <v>364</v>
      </c>
      <c r="AZ18" s="7" t="s">
        <v>21</v>
      </c>
      <c r="BA18" s="8">
        <v>24</v>
      </c>
    </row>
    <row r="19" spans="1:53" x14ac:dyDescent="0.25">
      <c r="A19" s="9">
        <v>45800.620645127317</v>
      </c>
      <c r="B19" s="10" t="s">
        <v>181</v>
      </c>
      <c r="C19" s="10" t="s">
        <v>699</v>
      </c>
      <c r="D19" s="10" t="s">
        <v>181</v>
      </c>
      <c r="E19" s="10"/>
      <c r="F19" s="10"/>
      <c r="G19" s="10"/>
      <c r="H19" s="10" t="s">
        <v>181</v>
      </c>
      <c r="I19" s="10"/>
      <c r="J19" s="10"/>
      <c r="K19" s="10" t="s">
        <v>177</v>
      </c>
      <c r="L19" s="10" t="s">
        <v>181</v>
      </c>
      <c r="M19" s="10"/>
      <c r="N19" s="10" t="s">
        <v>181</v>
      </c>
      <c r="O19" s="10"/>
      <c r="P19" s="10" t="s">
        <v>177</v>
      </c>
      <c r="Q19" s="10" t="s">
        <v>608</v>
      </c>
      <c r="R19" s="10" t="s">
        <v>177</v>
      </c>
      <c r="S19" s="10" t="s">
        <v>609</v>
      </c>
      <c r="T19" s="10" t="s">
        <v>177</v>
      </c>
      <c r="U19" s="10" t="s">
        <v>609</v>
      </c>
      <c r="V19" s="10" t="s">
        <v>177</v>
      </c>
      <c r="W19" s="10" t="s">
        <v>609</v>
      </c>
      <c r="X19" s="10" t="s">
        <v>181</v>
      </c>
      <c r="Y19" s="10"/>
      <c r="Z19" s="10" t="s">
        <v>177</v>
      </c>
      <c r="AA19" s="10" t="s">
        <v>609</v>
      </c>
      <c r="AB19" s="10" t="s">
        <v>177</v>
      </c>
      <c r="AC19" s="10" t="s">
        <v>609</v>
      </c>
      <c r="AD19" s="10" t="s">
        <v>817</v>
      </c>
      <c r="AE19" s="10" t="s">
        <v>818</v>
      </c>
      <c r="AF19" s="10" t="s">
        <v>16</v>
      </c>
      <c r="AG19" s="10" t="s">
        <v>819</v>
      </c>
      <c r="AH19" s="10" t="s">
        <v>820</v>
      </c>
      <c r="AI19" s="10" t="s">
        <v>612</v>
      </c>
      <c r="AJ19" s="10" t="s">
        <v>821</v>
      </c>
      <c r="AK19" s="10" t="s">
        <v>612</v>
      </c>
      <c r="AL19" s="10" t="s">
        <v>822</v>
      </c>
      <c r="AM19" s="10" t="s">
        <v>632</v>
      </c>
      <c r="AN19" s="10" t="s">
        <v>823</v>
      </c>
      <c r="AO19" s="10" t="s">
        <v>177</v>
      </c>
      <c r="AP19" s="10" t="s">
        <v>178</v>
      </c>
      <c r="AQ19" s="10" t="s">
        <v>824</v>
      </c>
      <c r="AR19" s="10" t="s">
        <v>825</v>
      </c>
      <c r="AS19" s="10" t="s">
        <v>826</v>
      </c>
      <c r="AT19" s="10" t="s">
        <v>18</v>
      </c>
      <c r="AU19" s="10" t="s">
        <v>469</v>
      </c>
      <c r="AV19" s="10" t="s">
        <v>20</v>
      </c>
      <c r="AW19" s="10" t="s">
        <v>135</v>
      </c>
      <c r="AX19" s="11" t="s">
        <v>827</v>
      </c>
      <c r="AY19" s="10" t="s">
        <v>364</v>
      </c>
      <c r="AZ19" s="10" t="s">
        <v>34</v>
      </c>
      <c r="BA19" s="12">
        <v>22</v>
      </c>
    </row>
    <row r="20" spans="1:53" x14ac:dyDescent="0.25">
      <c r="A20" s="6">
        <v>45800.624268530097</v>
      </c>
      <c r="B20" s="7" t="s">
        <v>181</v>
      </c>
      <c r="C20" s="7" t="s">
        <v>699</v>
      </c>
      <c r="D20" s="7" t="s">
        <v>181</v>
      </c>
      <c r="E20" s="7"/>
      <c r="F20" s="7"/>
      <c r="G20" s="7"/>
      <c r="H20" s="7" t="s">
        <v>181</v>
      </c>
      <c r="I20" s="7"/>
      <c r="J20" s="7"/>
      <c r="K20" s="7" t="s">
        <v>181</v>
      </c>
      <c r="L20" s="7"/>
      <c r="M20" s="7"/>
      <c r="N20" s="7"/>
      <c r="O20" s="7"/>
      <c r="P20" s="7"/>
      <c r="Q20" s="7"/>
      <c r="R20" s="7"/>
      <c r="S20" s="7"/>
      <c r="T20" s="7"/>
      <c r="U20" s="7"/>
      <c r="V20" s="7"/>
      <c r="W20" s="7"/>
      <c r="X20" s="7"/>
      <c r="Y20" s="7"/>
      <c r="Z20" s="7"/>
      <c r="AA20" s="7"/>
      <c r="AB20" s="7"/>
      <c r="AC20" s="7"/>
      <c r="AD20" s="7"/>
      <c r="AE20" s="7" t="s">
        <v>828</v>
      </c>
      <c r="AF20" s="7" t="s">
        <v>16</v>
      </c>
      <c r="AG20" s="7" t="s">
        <v>780</v>
      </c>
      <c r="AH20" s="7" t="s">
        <v>829</v>
      </c>
      <c r="AI20" s="7" t="s">
        <v>632</v>
      </c>
      <c r="AJ20" s="7" t="s">
        <v>830</v>
      </c>
      <c r="AK20" s="7" t="s">
        <v>612</v>
      </c>
      <c r="AL20" s="7" t="s">
        <v>831</v>
      </c>
      <c r="AM20" s="7" t="s">
        <v>832</v>
      </c>
      <c r="AN20" s="7" t="s">
        <v>364</v>
      </c>
      <c r="AO20" s="7" t="s">
        <v>177</v>
      </c>
      <c r="AP20" s="7" t="s">
        <v>178</v>
      </c>
      <c r="AQ20" s="7" t="s">
        <v>833</v>
      </c>
      <c r="AR20" s="7" t="s">
        <v>834</v>
      </c>
      <c r="AS20" s="7" t="s">
        <v>835</v>
      </c>
      <c r="AT20" s="7" t="s">
        <v>18</v>
      </c>
      <c r="AU20" s="7" t="s">
        <v>836</v>
      </c>
      <c r="AV20" s="7" t="s">
        <v>20</v>
      </c>
      <c r="AW20" s="7" t="s">
        <v>20</v>
      </c>
      <c r="AX20" s="13" t="s">
        <v>763</v>
      </c>
      <c r="AY20" s="7" t="s">
        <v>364</v>
      </c>
      <c r="AZ20" s="7" t="s">
        <v>21</v>
      </c>
      <c r="BA20" s="8">
        <v>24</v>
      </c>
    </row>
    <row r="21" spans="1:53" x14ac:dyDescent="0.25">
      <c r="A21" s="9">
        <v>45800.659134699075</v>
      </c>
      <c r="B21" s="10" t="s">
        <v>181</v>
      </c>
      <c r="C21" s="10" t="s">
        <v>699</v>
      </c>
      <c r="D21" s="10" t="s">
        <v>181</v>
      </c>
      <c r="E21" s="10"/>
      <c r="F21" s="10"/>
      <c r="G21" s="10"/>
      <c r="H21" s="10" t="s">
        <v>181</v>
      </c>
      <c r="I21" s="10"/>
      <c r="J21" s="10"/>
      <c r="K21" s="10" t="s">
        <v>177</v>
      </c>
      <c r="L21" s="10" t="s">
        <v>181</v>
      </c>
      <c r="M21" s="10"/>
      <c r="N21" s="10" t="s">
        <v>181</v>
      </c>
      <c r="O21" s="10"/>
      <c r="P21" s="10" t="s">
        <v>177</v>
      </c>
      <c r="Q21" s="10" t="s">
        <v>609</v>
      </c>
      <c r="R21" s="10" t="s">
        <v>177</v>
      </c>
      <c r="S21" s="10" t="s">
        <v>608</v>
      </c>
      <c r="T21" s="10" t="s">
        <v>177</v>
      </c>
      <c r="U21" s="10" t="s">
        <v>609</v>
      </c>
      <c r="V21" s="10" t="s">
        <v>177</v>
      </c>
      <c r="W21" s="10" t="s">
        <v>608</v>
      </c>
      <c r="X21" s="10" t="s">
        <v>177</v>
      </c>
      <c r="Y21" s="10" t="s">
        <v>627</v>
      </c>
      <c r="Z21" s="10" t="s">
        <v>177</v>
      </c>
      <c r="AA21" s="10" t="s">
        <v>609</v>
      </c>
      <c r="AB21" s="10" t="s">
        <v>177</v>
      </c>
      <c r="AC21" s="10" t="s">
        <v>609</v>
      </c>
      <c r="AD21" s="10" t="s">
        <v>723</v>
      </c>
      <c r="AE21" s="10" t="s">
        <v>837</v>
      </c>
      <c r="AF21" s="10" t="s">
        <v>16</v>
      </c>
      <c r="AG21" s="10" t="s">
        <v>838</v>
      </c>
      <c r="AH21" s="10" t="s">
        <v>364</v>
      </c>
      <c r="AI21" s="10" t="s">
        <v>612</v>
      </c>
      <c r="AJ21" s="10" t="s">
        <v>839</v>
      </c>
      <c r="AK21" s="10" t="s">
        <v>612</v>
      </c>
      <c r="AL21" s="10" t="s">
        <v>840</v>
      </c>
      <c r="AM21" s="10" t="s">
        <v>612</v>
      </c>
      <c r="AN21" s="10" t="s">
        <v>841</v>
      </c>
      <c r="AO21" s="10" t="s">
        <v>177</v>
      </c>
      <c r="AP21" s="10" t="s">
        <v>178</v>
      </c>
      <c r="AQ21" s="10" t="s">
        <v>842</v>
      </c>
      <c r="AR21" s="10" t="s">
        <v>843</v>
      </c>
      <c r="AS21" s="10" t="s">
        <v>844</v>
      </c>
      <c r="AT21" s="10" t="s">
        <v>18</v>
      </c>
      <c r="AU21" s="10" t="s">
        <v>39</v>
      </c>
      <c r="AV21" s="10" t="s">
        <v>20</v>
      </c>
      <c r="AW21" s="10" t="s">
        <v>20</v>
      </c>
      <c r="AX21" s="10" t="s">
        <v>807</v>
      </c>
      <c r="AY21" s="10" t="s">
        <v>364</v>
      </c>
      <c r="AZ21" s="10" t="s">
        <v>34</v>
      </c>
      <c r="BA21" s="12">
        <v>22</v>
      </c>
    </row>
    <row r="22" spans="1:53" x14ac:dyDescent="0.25">
      <c r="A22" s="6">
        <v>45801.028223692134</v>
      </c>
      <c r="B22" s="7" t="s">
        <v>181</v>
      </c>
      <c r="C22" s="7" t="s">
        <v>845</v>
      </c>
      <c r="D22" s="7" t="s">
        <v>181</v>
      </c>
      <c r="E22" s="7"/>
      <c r="F22" s="7"/>
      <c r="G22" s="7"/>
      <c r="H22" s="7" t="s">
        <v>181</v>
      </c>
      <c r="I22" s="7"/>
      <c r="J22" s="7"/>
      <c r="K22" s="7" t="s">
        <v>181</v>
      </c>
      <c r="L22" s="7"/>
      <c r="M22" s="7"/>
      <c r="N22" s="7"/>
      <c r="O22" s="7"/>
      <c r="P22" s="7"/>
      <c r="Q22" s="7"/>
      <c r="R22" s="7"/>
      <c r="S22" s="7"/>
      <c r="T22" s="7"/>
      <c r="U22" s="7"/>
      <c r="V22" s="7"/>
      <c r="W22" s="7"/>
      <c r="X22" s="7"/>
      <c r="Y22" s="7"/>
      <c r="Z22" s="7"/>
      <c r="AA22" s="7"/>
      <c r="AB22" s="7"/>
      <c r="AC22" s="7"/>
      <c r="AD22" s="7"/>
      <c r="AE22" s="7" t="s">
        <v>846</v>
      </c>
      <c r="AF22" s="7" t="s">
        <v>16</v>
      </c>
      <c r="AG22" s="7" t="s">
        <v>847</v>
      </c>
      <c r="AH22" s="7" t="s">
        <v>848</v>
      </c>
      <c r="AI22" s="7" t="s">
        <v>612</v>
      </c>
      <c r="AJ22" s="7" t="s">
        <v>849</v>
      </c>
      <c r="AK22" s="7" t="s">
        <v>612</v>
      </c>
      <c r="AL22" s="7" t="s">
        <v>850</v>
      </c>
      <c r="AM22" s="7" t="s">
        <v>612</v>
      </c>
      <c r="AN22" s="7" t="s">
        <v>851</v>
      </c>
      <c r="AO22" s="7" t="s">
        <v>181</v>
      </c>
      <c r="AP22" s="7" t="s">
        <v>178</v>
      </c>
      <c r="AQ22" s="7" t="s">
        <v>852</v>
      </c>
      <c r="AR22" s="7" t="s">
        <v>853</v>
      </c>
      <c r="AS22" s="7" t="s">
        <v>854</v>
      </c>
      <c r="AT22" s="7" t="s">
        <v>18</v>
      </c>
      <c r="AU22" s="7" t="s">
        <v>855</v>
      </c>
      <c r="AV22" s="7" t="s">
        <v>20</v>
      </c>
      <c r="AW22" s="7" t="s">
        <v>20</v>
      </c>
      <c r="AX22" s="13" t="s">
        <v>856</v>
      </c>
      <c r="AY22" s="7" t="s">
        <v>364</v>
      </c>
      <c r="AZ22" s="7" t="s">
        <v>34</v>
      </c>
      <c r="BA22" s="8">
        <v>27</v>
      </c>
    </row>
    <row r="23" spans="1:53" x14ac:dyDescent="0.25">
      <c r="A23" s="9">
        <v>45801.250297893523</v>
      </c>
      <c r="B23" s="10" t="s">
        <v>181</v>
      </c>
      <c r="C23" s="10" t="s">
        <v>672</v>
      </c>
      <c r="D23" s="10" t="s">
        <v>181</v>
      </c>
      <c r="E23" s="10"/>
      <c r="F23" s="10"/>
      <c r="G23" s="10"/>
      <c r="H23" s="10" t="s">
        <v>181</v>
      </c>
      <c r="I23" s="10"/>
      <c r="J23" s="10"/>
      <c r="K23" s="10" t="s">
        <v>177</v>
      </c>
      <c r="L23" s="10" t="s">
        <v>181</v>
      </c>
      <c r="M23" s="10"/>
      <c r="N23" s="10" t="s">
        <v>181</v>
      </c>
      <c r="O23" s="10"/>
      <c r="P23" s="10" t="s">
        <v>181</v>
      </c>
      <c r="Q23" s="10"/>
      <c r="R23" s="10" t="s">
        <v>181</v>
      </c>
      <c r="S23" s="10"/>
      <c r="T23" s="10" t="s">
        <v>177</v>
      </c>
      <c r="U23" s="10" t="s">
        <v>627</v>
      </c>
      <c r="V23" s="10" t="s">
        <v>177</v>
      </c>
      <c r="W23" s="10" t="s">
        <v>608</v>
      </c>
      <c r="X23" s="10" t="s">
        <v>181</v>
      </c>
      <c r="Y23" s="10"/>
      <c r="Z23" s="10" t="s">
        <v>177</v>
      </c>
      <c r="AA23" s="10" t="s">
        <v>608</v>
      </c>
      <c r="AB23" s="10" t="s">
        <v>177</v>
      </c>
      <c r="AC23" s="10" t="s">
        <v>609</v>
      </c>
      <c r="AD23" s="10" t="s">
        <v>857</v>
      </c>
      <c r="AE23" s="10" t="s">
        <v>858</v>
      </c>
      <c r="AF23" s="10" t="s">
        <v>16</v>
      </c>
      <c r="AG23" s="10" t="s">
        <v>838</v>
      </c>
      <c r="AH23" s="10" t="s">
        <v>364</v>
      </c>
      <c r="AI23" s="10" t="s">
        <v>612</v>
      </c>
      <c r="AJ23" s="10" t="s">
        <v>859</v>
      </c>
      <c r="AK23" s="10" t="s">
        <v>612</v>
      </c>
      <c r="AL23" s="10" t="s">
        <v>860</v>
      </c>
      <c r="AM23" s="10" t="s">
        <v>612</v>
      </c>
      <c r="AN23" s="10" t="s">
        <v>861</v>
      </c>
      <c r="AO23" s="10" t="s">
        <v>177</v>
      </c>
      <c r="AP23" s="10" t="s">
        <v>178</v>
      </c>
      <c r="AQ23" s="10" t="s">
        <v>862</v>
      </c>
      <c r="AR23" s="10" t="s">
        <v>863</v>
      </c>
      <c r="AS23" s="10" t="s">
        <v>864</v>
      </c>
      <c r="AT23" s="10" t="s">
        <v>18</v>
      </c>
      <c r="AU23" s="10" t="s">
        <v>865</v>
      </c>
      <c r="AV23" s="10" t="s">
        <v>20</v>
      </c>
      <c r="AW23" s="10" t="s">
        <v>135</v>
      </c>
      <c r="AX23" s="11" t="s">
        <v>684</v>
      </c>
      <c r="AY23" s="10" t="s">
        <v>364</v>
      </c>
      <c r="AZ23" s="10" t="s">
        <v>34</v>
      </c>
      <c r="BA23" s="12">
        <v>23</v>
      </c>
    </row>
    <row r="24" spans="1:53" x14ac:dyDescent="0.25">
      <c r="A24" s="6">
        <v>45801.290689108791</v>
      </c>
      <c r="B24" s="7" t="s">
        <v>181</v>
      </c>
      <c r="C24" s="7" t="s">
        <v>866</v>
      </c>
      <c r="D24" s="7" t="s">
        <v>181</v>
      </c>
      <c r="E24" s="7"/>
      <c r="F24" s="7"/>
      <c r="G24" s="7"/>
      <c r="H24" s="7" t="s">
        <v>181</v>
      </c>
      <c r="I24" s="7"/>
      <c r="J24" s="7"/>
      <c r="K24" s="7" t="s">
        <v>177</v>
      </c>
      <c r="L24" s="7" t="s">
        <v>177</v>
      </c>
      <c r="M24" s="7" t="s">
        <v>608</v>
      </c>
      <c r="N24" s="7" t="s">
        <v>181</v>
      </c>
      <c r="O24" s="7"/>
      <c r="P24" s="7" t="s">
        <v>177</v>
      </c>
      <c r="Q24" s="7" t="s">
        <v>608</v>
      </c>
      <c r="R24" s="7" t="s">
        <v>181</v>
      </c>
      <c r="S24" s="7"/>
      <c r="T24" s="7" t="s">
        <v>177</v>
      </c>
      <c r="U24" s="7" t="s">
        <v>608</v>
      </c>
      <c r="V24" s="7" t="s">
        <v>177</v>
      </c>
      <c r="W24" s="7" t="s">
        <v>608</v>
      </c>
      <c r="X24" s="7" t="s">
        <v>181</v>
      </c>
      <c r="Y24" s="7"/>
      <c r="Z24" s="7" t="s">
        <v>177</v>
      </c>
      <c r="AA24" s="7" t="s">
        <v>609</v>
      </c>
      <c r="AB24" s="7" t="s">
        <v>177</v>
      </c>
      <c r="AC24" s="7" t="s">
        <v>609</v>
      </c>
      <c r="AD24" s="7" t="s">
        <v>867</v>
      </c>
      <c r="AE24" s="7" t="s">
        <v>868</v>
      </c>
      <c r="AF24" s="7" t="s">
        <v>16</v>
      </c>
      <c r="AG24" s="7" t="s">
        <v>209</v>
      </c>
      <c r="AH24" s="7" t="s">
        <v>869</v>
      </c>
      <c r="AI24" s="7" t="s">
        <v>612</v>
      </c>
      <c r="AJ24" s="7" t="s">
        <v>870</v>
      </c>
      <c r="AK24" s="7" t="s">
        <v>612</v>
      </c>
      <c r="AL24" s="7" t="s">
        <v>871</v>
      </c>
      <c r="AM24" s="7" t="s">
        <v>612</v>
      </c>
      <c r="AN24" s="7" t="s">
        <v>872</v>
      </c>
      <c r="AO24" s="7" t="s">
        <v>177</v>
      </c>
      <c r="AP24" s="7" t="s">
        <v>324</v>
      </c>
      <c r="AQ24" s="7" t="s">
        <v>873</v>
      </c>
      <c r="AR24" s="7" t="s">
        <v>874</v>
      </c>
      <c r="AS24" s="7" t="s">
        <v>875</v>
      </c>
      <c r="AT24" s="7" t="s">
        <v>18</v>
      </c>
      <c r="AU24" s="7" t="s">
        <v>876</v>
      </c>
      <c r="AV24" s="7" t="s">
        <v>20</v>
      </c>
      <c r="AW24" s="7" t="s">
        <v>20</v>
      </c>
      <c r="AX24" s="13" t="s">
        <v>877</v>
      </c>
      <c r="AY24" s="7" t="s">
        <v>364</v>
      </c>
      <c r="AZ24" s="7" t="s">
        <v>21</v>
      </c>
      <c r="BA24" s="8">
        <v>23</v>
      </c>
    </row>
    <row r="25" spans="1:53" x14ac:dyDescent="0.25">
      <c r="A25" s="9">
        <v>45801.312594097224</v>
      </c>
      <c r="B25" s="10" t="s">
        <v>181</v>
      </c>
      <c r="C25" s="10" t="s">
        <v>699</v>
      </c>
      <c r="D25" s="10" t="s">
        <v>181</v>
      </c>
      <c r="E25" s="10"/>
      <c r="F25" s="10"/>
      <c r="G25" s="10"/>
      <c r="H25" s="10" t="s">
        <v>177</v>
      </c>
      <c r="I25" s="10" t="s">
        <v>878</v>
      </c>
      <c r="J25" s="10" t="s">
        <v>865</v>
      </c>
      <c r="K25" s="10" t="s">
        <v>181</v>
      </c>
      <c r="L25" s="10"/>
      <c r="M25" s="10"/>
      <c r="N25" s="10"/>
      <c r="O25" s="10"/>
      <c r="P25" s="10"/>
      <c r="Q25" s="10"/>
      <c r="R25" s="10"/>
      <c r="S25" s="10"/>
      <c r="T25" s="10"/>
      <c r="U25" s="10"/>
      <c r="V25" s="10"/>
      <c r="W25" s="10"/>
      <c r="X25" s="10"/>
      <c r="Y25" s="10"/>
      <c r="Z25" s="10"/>
      <c r="AA25" s="10"/>
      <c r="AB25" s="10"/>
      <c r="AC25" s="10"/>
      <c r="AD25" s="10"/>
      <c r="AE25" s="10" t="s">
        <v>879</v>
      </c>
      <c r="AF25" s="10" t="s">
        <v>31</v>
      </c>
      <c r="AG25" s="10" t="s">
        <v>847</v>
      </c>
      <c r="AH25" s="10" t="s">
        <v>364</v>
      </c>
      <c r="AI25" s="10" t="s">
        <v>612</v>
      </c>
      <c r="AJ25" s="10" t="s">
        <v>880</v>
      </c>
      <c r="AK25" s="10" t="s">
        <v>612</v>
      </c>
      <c r="AL25" s="10" t="s">
        <v>881</v>
      </c>
      <c r="AM25" s="10" t="s">
        <v>632</v>
      </c>
      <c r="AN25" s="10" t="s">
        <v>882</v>
      </c>
      <c r="AO25" s="10" t="s">
        <v>181</v>
      </c>
      <c r="AP25" s="10" t="s">
        <v>178</v>
      </c>
      <c r="AQ25" s="10" t="s">
        <v>883</v>
      </c>
      <c r="AR25" s="10" t="s">
        <v>884</v>
      </c>
      <c r="AS25" s="10" t="s">
        <v>885</v>
      </c>
      <c r="AT25" s="10" t="s">
        <v>18</v>
      </c>
      <c r="AU25" s="10" t="s">
        <v>886</v>
      </c>
      <c r="AV25" s="10" t="s">
        <v>60</v>
      </c>
      <c r="AW25" s="10" t="s">
        <v>20</v>
      </c>
      <c r="AX25" s="10" t="s">
        <v>887</v>
      </c>
      <c r="AY25" s="10" t="s">
        <v>364</v>
      </c>
      <c r="AZ25" s="10" t="s">
        <v>21</v>
      </c>
      <c r="BA25" s="12">
        <v>24</v>
      </c>
    </row>
    <row r="26" spans="1:53" x14ac:dyDescent="0.25">
      <c r="A26" s="6">
        <v>45801.328611608798</v>
      </c>
      <c r="B26" s="7" t="s">
        <v>181</v>
      </c>
      <c r="C26" s="7" t="s">
        <v>888</v>
      </c>
      <c r="D26" s="7" t="s">
        <v>181</v>
      </c>
      <c r="E26" s="7"/>
      <c r="F26" s="7"/>
      <c r="G26" s="7"/>
      <c r="H26" s="7" t="s">
        <v>181</v>
      </c>
      <c r="I26" s="7"/>
      <c r="J26" s="7"/>
      <c r="K26" s="7" t="s">
        <v>181</v>
      </c>
      <c r="L26" s="7"/>
      <c r="M26" s="7"/>
      <c r="N26" s="7"/>
      <c r="O26" s="7"/>
      <c r="P26" s="7"/>
      <c r="Q26" s="7"/>
      <c r="R26" s="7"/>
      <c r="S26" s="7"/>
      <c r="T26" s="7"/>
      <c r="U26" s="7"/>
      <c r="V26" s="7"/>
      <c r="W26" s="7"/>
      <c r="X26" s="7"/>
      <c r="Y26" s="7"/>
      <c r="Z26" s="7"/>
      <c r="AA26" s="7"/>
      <c r="AB26" s="7"/>
      <c r="AC26" s="7"/>
      <c r="AD26" s="7"/>
      <c r="AE26" s="7" t="s">
        <v>889</v>
      </c>
      <c r="AF26" s="7" t="s">
        <v>16</v>
      </c>
      <c r="AG26" s="7" t="s">
        <v>890</v>
      </c>
      <c r="AH26" s="7" t="s">
        <v>364</v>
      </c>
      <c r="AI26" s="7" t="s">
        <v>615</v>
      </c>
      <c r="AJ26" s="7" t="s">
        <v>891</v>
      </c>
      <c r="AK26" s="7" t="s">
        <v>612</v>
      </c>
      <c r="AL26" s="7" t="s">
        <v>892</v>
      </c>
      <c r="AM26" s="7" t="s">
        <v>832</v>
      </c>
      <c r="AN26" s="7" t="s">
        <v>893</v>
      </c>
      <c r="AO26" s="7" t="s">
        <v>177</v>
      </c>
      <c r="AP26" s="7" t="s">
        <v>178</v>
      </c>
      <c r="AQ26" s="7" t="s">
        <v>894</v>
      </c>
      <c r="AR26" s="7" t="s">
        <v>895</v>
      </c>
      <c r="AS26" s="7" t="s">
        <v>896</v>
      </c>
      <c r="AT26" s="7" t="s">
        <v>18</v>
      </c>
      <c r="AU26" s="7" t="s">
        <v>351</v>
      </c>
      <c r="AV26" s="7" t="s">
        <v>20</v>
      </c>
      <c r="AW26" s="7" t="s">
        <v>20</v>
      </c>
      <c r="AX26" s="7" t="s">
        <v>897</v>
      </c>
      <c r="AY26" s="7" t="s">
        <v>807</v>
      </c>
      <c r="AZ26" s="7" t="s">
        <v>34</v>
      </c>
      <c r="BA26" s="8">
        <v>23</v>
      </c>
    </row>
    <row r="27" spans="1:53" x14ac:dyDescent="0.25">
      <c r="A27" s="9">
        <v>45801.362482997683</v>
      </c>
      <c r="B27" s="10" t="s">
        <v>177</v>
      </c>
      <c r="C27" s="10" t="s">
        <v>623</v>
      </c>
      <c r="D27" s="10" t="s">
        <v>177</v>
      </c>
      <c r="E27" s="10" t="s">
        <v>624</v>
      </c>
      <c r="F27" s="10" t="s">
        <v>625</v>
      </c>
      <c r="G27" s="10" t="s">
        <v>898</v>
      </c>
      <c r="H27" s="10" t="s">
        <v>181</v>
      </c>
      <c r="I27" s="10"/>
      <c r="J27" s="10"/>
      <c r="K27" s="10" t="s">
        <v>177</v>
      </c>
      <c r="L27" s="10" t="s">
        <v>177</v>
      </c>
      <c r="M27" s="10" t="s">
        <v>609</v>
      </c>
      <c r="N27" s="10" t="s">
        <v>177</v>
      </c>
      <c r="O27" s="10" t="s">
        <v>609</v>
      </c>
      <c r="P27" s="10" t="s">
        <v>177</v>
      </c>
      <c r="Q27" s="10" t="s">
        <v>609</v>
      </c>
      <c r="R27" s="10" t="s">
        <v>177</v>
      </c>
      <c r="S27" s="10" t="s">
        <v>608</v>
      </c>
      <c r="T27" s="10" t="s">
        <v>177</v>
      </c>
      <c r="U27" s="10" t="s">
        <v>609</v>
      </c>
      <c r="V27" s="10" t="s">
        <v>177</v>
      </c>
      <c r="W27" s="10" t="s">
        <v>609</v>
      </c>
      <c r="X27" s="10" t="s">
        <v>177</v>
      </c>
      <c r="Y27" s="10" t="s">
        <v>608</v>
      </c>
      <c r="Z27" s="10" t="s">
        <v>177</v>
      </c>
      <c r="AA27" s="10" t="s">
        <v>609</v>
      </c>
      <c r="AB27" s="10" t="s">
        <v>177</v>
      </c>
      <c r="AC27" s="10" t="s">
        <v>609</v>
      </c>
      <c r="AD27" s="10" t="s">
        <v>899</v>
      </c>
      <c r="AE27" s="10" t="s">
        <v>900</v>
      </c>
      <c r="AF27" s="10" t="s">
        <v>16</v>
      </c>
      <c r="AG27" s="10" t="s">
        <v>901</v>
      </c>
      <c r="AH27" s="10" t="s">
        <v>902</v>
      </c>
      <c r="AI27" s="10" t="s">
        <v>612</v>
      </c>
      <c r="AJ27" s="10" t="s">
        <v>903</v>
      </c>
      <c r="AK27" s="10" t="s">
        <v>612</v>
      </c>
      <c r="AL27" s="10" t="s">
        <v>904</v>
      </c>
      <c r="AM27" s="10" t="s">
        <v>612</v>
      </c>
      <c r="AN27" s="10" t="s">
        <v>905</v>
      </c>
      <c r="AO27" s="10" t="s">
        <v>177</v>
      </c>
      <c r="AP27" s="10" t="s">
        <v>178</v>
      </c>
      <c r="AQ27" s="10" t="s">
        <v>906</v>
      </c>
      <c r="AR27" s="10" t="s">
        <v>907</v>
      </c>
      <c r="AS27" s="10" t="s">
        <v>908</v>
      </c>
      <c r="AT27" s="10" t="s">
        <v>18</v>
      </c>
      <c r="AU27" s="10" t="s">
        <v>909</v>
      </c>
      <c r="AV27" s="10" t="s">
        <v>20</v>
      </c>
      <c r="AW27" s="10" t="s">
        <v>20</v>
      </c>
      <c r="AX27" s="11" t="s">
        <v>763</v>
      </c>
      <c r="AY27" s="11" t="s">
        <v>910</v>
      </c>
      <c r="AZ27" s="10" t="s">
        <v>21</v>
      </c>
      <c r="BA27" s="12">
        <v>24</v>
      </c>
    </row>
    <row r="28" spans="1:53" x14ac:dyDescent="0.25">
      <c r="A28" s="6">
        <v>45801.455863356481</v>
      </c>
      <c r="B28" s="7" t="s">
        <v>181</v>
      </c>
      <c r="C28" s="7" t="s">
        <v>699</v>
      </c>
      <c r="D28" s="7" t="s">
        <v>181</v>
      </c>
      <c r="E28" s="7"/>
      <c r="F28" s="7"/>
      <c r="G28" s="7"/>
      <c r="H28" s="7" t="s">
        <v>181</v>
      </c>
      <c r="I28" s="7"/>
      <c r="J28" s="7"/>
      <c r="K28" s="7" t="s">
        <v>177</v>
      </c>
      <c r="L28" s="7" t="s">
        <v>177</v>
      </c>
      <c r="M28" s="7" t="s">
        <v>627</v>
      </c>
      <c r="N28" s="7" t="s">
        <v>177</v>
      </c>
      <c r="O28" s="7" t="s">
        <v>627</v>
      </c>
      <c r="P28" s="7" t="s">
        <v>181</v>
      </c>
      <c r="Q28" s="7"/>
      <c r="R28" s="7" t="s">
        <v>181</v>
      </c>
      <c r="S28" s="7"/>
      <c r="T28" s="7" t="s">
        <v>177</v>
      </c>
      <c r="U28" s="7" t="s">
        <v>608</v>
      </c>
      <c r="V28" s="7" t="s">
        <v>181</v>
      </c>
      <c r="W28" s="7"/>
      <c r="X28" s="7" t="s">
        <v>181</v>
      </c>
      <c r="Y28" s="7"/>
      <c r="Z28" s="7" t="s">
        <v>177</v>
      </c>
      <c r="AA28" s="7" t="s">
        <v>608</v>
      </c>
      <c r="AB28" s="7" t="s">
        <v>177</v>
      </c>
      <c r="AC28" s="7" t="s">
        <v>609</v>
      </c>
      <c r="AD28" s="7" t="s">
        <v>899</v>
      </c>
      <c r="AE28" s="7" t="s">
        <v>911</v>
      </c>
      <c r="AF28" s="7" t="s">
        <v>16</v>
      </c>
      <c r="AG28" s="7" t="s">
        <v>912</v>
      </c>
      <c r="AH28" s="7" t="s">
        <v>364</v>
      </c>
      <c r="AI28" s="7" t="s">
        <v>612</v>
      </c>
      <c r="AJ28" s="7" t="s">
        <v>913</v>
      </c>
      <c r="AK28" s="7" t="s">
        <v>612</v>
      </c>
      <c r="AL28" s="7" t="s">
        <v>914</v>
      </c>
      <c r="AM28" s="7" t="s">
        <v>832</v>
      </c>
      <c r="AN28" s="7" t="s">
        <v>364</v>
      </c>
      <c r="AO28" s="7" t="s">
        <v>177</v>
      </c>
      <c r="AP28" s="7" t="s">
        <v>178</v>
      </c>
      <c r="AQ28" s="7" t="s">
        <v>915</v>
      </c>
      <c r="AR28" s="7" t="s">
        <v>916</v>
      </c>
      <c r="AS28" s="7" t="s">
        <v>917</v>
      </c>
      <c r="AT28" s="7" t="s">
        <v>18</v>
      </c>
      <c r="AU28" s="7" t="s">
        <v>918</v>
      </c>
      <c r="AV28" s="7" t="s">
        <v>60</v>
      </c>
      <c r="AW28" s="7" t="s">
        <v>60</v>
      </c>
      <c r="AX28" s="13" t="s">
        <v>684</v>
      </c>
      <c r="AY28" s="7" t="s">
        <v>364</v>
      </c>
      <c r="AZ28" s="7" t="s">
        <v>21</v>
      </c>
      <c r="BA28" s="8">
        <v>26</v>
      </c>
    </row>
    <row r="29" spans="1:53" x14ac:dyDescent="0.25">
      <c r="A29" s="9">
        <v>45801.462555949074</v>
      </c>
      <c r="B29" s="10" t="s">
        <v>181</v>
      </c>
      <c r="C29" s="10" t="s">
        <v>919</v>
      </c>
      <c r="D29" s="10" t="s">
        <v>181</v>
      </c>
      <c r="E29" s="10"/>
      <c r="F29" s="10"/>
      <c r="G29" s="10"/>
      <c r="H29" s="10" t="s">
        <v>181</v>
      </c>
      <c r="I29" s="10"/>
      <c r="J29" s="10"/>
      <c r="K29" s="10" t="s">
        <v>181</v>
      </c>
      <c r="L29" s="10"/>
      <c r="M29" s="10"/>
      <c r="N29" s="10"/>
      <c r="O29" s="10"/>
      <c r="P29" s="10"/>
      <c r="Q29" s="10"/>
      <c r="R29" s="10"/>
      <c r="S29" s="10"/>
      <c r="T29" s="10"/>
      <c r="U29" s="10"/>
      <c r="V29" s="10"/>
      <c r="W29" s="10"/>
      <c r="X29" s="10"/>
      <c r="Y29" s="10"/>
      <c r="Z29" s="10"/>
      <c r="AA29" s="10"/>
      <c r="AB29" s="10"/>
      <c r="AC29" s="10"/>
      <c r="AD29" s="10"/>
      <c r="AE29" s="10" t="s">
        <v>920</v>
      </c>
      <c r="AF29" s="10" t="s">
        <v>16</v>
      </c>
      <c r="AG29" s="10" t="s">
        <v>800</v>
      </c>
      <c r="AH29" s="10" t="s">
        <v>364</v>
      </c>
      <c r="AI29" s="10" t="s">
        <v>615</v>
      </c>
      <c r="AJ29" s="10" t="s">
        <v>921</v>
      </c>
      <c r="AK29" s="10" t="s">
        <v>612</v>
      </c>
      <c r="AL29" s="10" t="s">
        <v>922</v>
      </c>
      <c r="AM29" s="10" t="s">
        <v>612</v>
      </c>
      <c r="AN29" s="10" t="s">
        <v>923</v>
      </c>
      <c r="AO29" s="10" t="s">
        <v>177</v>
      </c>
      <c r="AP29" s="10" t="s">
        <v>178</v>
      </c>
      <c r="AQ29" s="10" t="s">
        <v>924</v>
      </c>
      <c r="AR29" s="10" t="s">
        <v>925</v>
      </c>
      <c r="AS29" s="10" t="s">
        <v>926</v>
      </c>
      <c r="AT29" s="10" t="s">
        <v>18</v>
      </c>
      <c r="AU29" s="10" t="s">
        <v>796</v>
      </c>
      <c r="AV29" s="10" t="s">
        <v>20</v>
      </c>
      <c r="AW29" s="10" t="s">
        <v>20</v>
      </c>
      <c r="AX29" s="10" t="s">
        <v>927</v>
      </c>
      <c r="AY29" s="10" t="s">
        <v>364</v>
      </c>
      <c r="AZ29" s="10" t="s">
        <v>34</v>
      </c>
      <c r="BA29" s="12">
        <v>24</v>
      </c>
    </row>
    <row r="30" spans="1:53" x14ac:dyDescent="0.25">
      <c r="A30" s="6">
        <v>45801.588808518514</v>
      </c>
      <c r="B30" s="7" t="s">
        <v>181</v>
      </c>
      <c r="C30" s="7" t="s">
        <v>672</v>
      </c>
      <c r="D30" s="7" t="s">
        <v>181</v>
      </c>
      <c r="E30" s="7"/>
      <c r="F30" s="7"/>
      <c r="G30" s="7"/>
      <c r="H30" s="7" t="s">
        <v>181</v>
      </c>
      <c r="I30" s="7"/>
      <c r="J30" s="7"/>
      <c r="K30" s="7" t="s">
        <v>177</v>
      </c>
      <c r="L30" s="7" t="s">
        <v>177</v>
      </c>
      <c r="M30" s="7" t="s">
        <v>608</v>
      </c>
      <c r="N30" s="7" t="s">
        <v>177</v>
      </c>
      <c r="O30" s="7" t="s">
        <v>608</v>
      </c>
      <c r="P30" s="7" t="s">
        <v>177</v>
      </c>
      <c r="Q30" s="7" t="s">
        <v>609</v>
      </c>
      <c r="R30" s="7" t="s">
        <v>177</v>
      </c>
      <c r="S30" s="7" t="s">
        <v>608</v>
      </c>
      <c r="T30" s="7" t="s">
        <v>177</v>
      </c>
      <c r="U30" s="7" t="s">
        <v>609</v>
      </c>
      <c r="V30" s="7" t="s">
        <v>177</v>
      </c>
      <c r="W30" s="7" t="s">
        <v>627</v>
      </c>
      <c r="X30" s="7" t="s">
        <v>181</v>
      </c>
      <c r="Y30" s="7"/>
      <c r="Z30" s="7" t="s">
        <v>177</v>
      </c>
      <c r="AA30" s="7" t="s">
        <v>609</v>
      </c>
      <c r="AB30" s="7" t="s">
        <v>177</v>
      </c>
      <c r="AC30" s="7" t="s">
        <v>609</v>
      </c>
      <c r="AD30" s="7" t="s">
        <v>610</v>
      </c>
      <c r="AE30" s="7" t="s">
        <v>928</v>
      </c>
      <c r="AF30" s="7" t="s">
        <v>16</v>
      </c>
      <c r="AG30" s="7" t="s">
        <v>734</v>
      </c>
      <c r="AH30" s="7" t="s">
        <v>364</v>
      </c>
      <c r="AI30" s="7" t="s">
        <v>612</v>
      </c>
      <c r="AJ30" s="7" t="s">
        <v>929</v>
      </c>
      <c r="AK30" s="7" t="s">
        <v>612</v>
      </c>
      <c r="AL30" s="7" t="s">
        <v>930</v>
      </c>
      <c r="AM30" s="7" t="s">
        <v>612</v>
      </c>
      <c r="AN30" s="7" t="s">
        <v>931</v>
      </c>
      <c r="AO30" s="7" t="s">
        <v>177</v>
      </c>
      <c r="AP30" s="7" t="s">
        <v>178</v>
      </c>
      <c r="AQ30" s="7" t="s">
        <v>932</v>
      </c>
      <c r="AR30" s="7" t="s">
        <v>933</v>
      </c>
      <c r="AS30" s="7" t="s">
        <v>934</v>
      </c>
      <c r="AT30" s="7" t="s">
        <v>18</v>
      </c>
      <c r="AU30" s="7" t="s">
        <v>935</v>
      </c>
      <c r="AV30" s="7" t="s">
        <v>20</v>
      </c>
      <c r="AW30" s="7" t="s">
        <v>135</v>
      </c>
      <c r="AX30" s="13" t="s">
        <v>684</v>
      </c>
      <c r="AY30" s="7" t="s">
        <v>364</v>
      </c>
      <c r="AZ30" s="7" t="s">
        <v>21</v>
      </c>
      <c r="BA30" s="8">
        <v>23</v>
      </c>
    </row>
    <row r="31" spans="1:53" x14ac:dyDescent="0.25">
      <c r="A31" s="9">
        <v>45802.43158877315</v>
      </c>
      <c r="B31" s="10" t="s">
        <v>181</v>
      </c>
      <c r="C31" s="10" t="s">
        <v>699</v>
      </c>
      <c r="D31" s="10" t="s">
        <v>181</v>
      </c>
      <c r="E31" s="10"/>
      <c r="F31" s="10"/>
      <c r="G31" s="10"/>
      <c r="H31" s="10" t="s">
        <v>181</v>
      </c>
      <c r="I31" s="10"/>
      <c r="J31" s="10"/>
      <c r="K31" s="10" t="s">
        <v>177</v>
      </c>
      <c r="L31" s="10" t="s">
        <v>177</v>
      </c>
      <c r="M31" s="10" t="s">
        <v>608</v>
      </c>
      <c r="N31" s="10" t="s">
        <v>177</v>
      </c>
      <c r="O31" s="10" t="s">
        <v>627</v>
      </c>
      <c r="P31" s="10" t="s">
        <v>181</v>
      </c>
      <c r="Q31" s="10"/>
      <c r="R31" s="10" t="s">
        <v>177</v>
      </c>
      <c r="S31" s="10" t="s">
        <v>609</v>
      </c>
      <c r="T31" s="10" t="s">
        <v>177</v>
      </c>
      <c r="U31" s="10" t="s">
        <v>609</v>
      </c>
      <c r="V31" s="10" t="s">
        <v>177</v>
      </c>
      <c r="W31" s="10" t="s">
        <v>608</v>
      </c>
      <c r="X31" s="10" t="s">
        <v>177</v>
      </c>
      <c r="Y31" s="10" t="s">
        <v>608</v>
      </c>
      <c r="Z31" s="10" t="s">
        <v>177</v>
      </c>
      <c r="AA31" s="10" t="s">
        <v>608</v>
      </c>
      <c r="AB31" s="10" t="s">
        <v>177</v>
      </c>
      <c r="AC31" s="10" t="s">
        <v>609</v>
      </c>
      <c r="AD31" s="10" t="s">
        <v>936</v>
      </c>
      <c r="AE31" s="10" t="s">
        <v>937</v>
      </c>
      <c r="AF31" s="10" t="s">
        <v>16</v>
      </c>
      <c r="AG31" s="10" t="s">
        <v>938</v>
      </c>
      <c r="AH31" s="10" t="s">
        <v>364</v>
      </c>
      <c r="AI31" s="10" t="s">
        <v>612</v>
      </c>
      <c r="AJ31" s="10" t="s">
        <v>939</v>
      </c>
      <c r="AK31" s="10" t="s">
        <v>612</v>
      </c>
      <c r="AL31" s="10" t="s">
        <v>940</v>
      </c>
      <c r="AM31" s="10" t="s">
        <v>612</v>
      </c>
      <c r="AN31" s="10" t="s">
        <v>941</v>
      </c>
      <c r="AO31" s="10" t="s">
        <v>177</v>
      </c>
      <c r="AP31" s="10" t="s">
        <v>178</v>
      </c>
      <c r="AQ31" s="10" t="s">
        <v>942</v>
      </c>
      <c r="AR31" s="10" t="s">
        <v>943</v>
      </c>
      <c r="AS31" s="10" t="s">
        <v>944</v>
      </c>
      <c r="AT31" s="10" t="s">
        <v>18</v>
      </c>
      <c r="AU31" s="10" t="s">
        <v>945</v>
      </c>
      <c r="AV31" s="10" t="s">
        <v>20</v>
      </c>
      <c r="AW31" s="10" t="s">
        <v>20</v>
      </c>
      <c r="AX31" s="10" t="s">
        <v>897</v>
      </c>
      <c r="AY31" s="10" t="s">
        <v>364</v>
      </c>
      <c r="AZ31" s="10" t="s">
        <v>34</v>
      </c>
      <c r="BA31" s="12">
        <v>21</v>
      </c>
    </row>
    <row r="32" spans="1:53" x14ac:dyDescent="0.25">
      <c r="A32" s="6">
        <v>45802.568915208336</v>
      </c>
      <c r="B32" s="7" t="s">
        <v>181</v>
      </c>
      <c r="C32" s="7" t="s">
        <v>699</v>
      </c>
      <c r="D32" s="7" t="s">
        <v>181</v>
      </c>
      <c r="E32" s="7"/>
      <c r="F32" s="7"/>
      <c r="G32" s="7"/>
      <c r="H32" s="7" t="s">
        <v>181</v>
      </c>
      <c r="I32" s="7"/>
      <c r="J32" s="7"/>
      <c r="K32" s="7" t="s">
        <v>181</v>
      </c>
      <c r="L32" s="7"/>
      <c r="M32" s="7"/>
      <c r="N32" s="7"/>
      <c r="O32" s="7"/>
      <c r="P32" s="7"/>
      <c r="Q32" s="7"/>
      <c r="R32" s="7"/>
      <c r="S32" s="7"/>
      <c r="T32" s="7"/>
      <c r="U32" s="7"/>
      <c r="V32" s="7"/>
      <c r="W32" s="7"/>
      <c r="X32" s="7"/>
      <c r="Y32" s="7"/>
      <c r="Z32" s="7"/>
      <c r="AA32" s="7"/>
      <c r="AB32" s="7"/>
      <c r="AC32" s="7"/>
      <c r="AD32" s="7"/>
      <c r="AE32" s="7" t="s">
        <v>946</v>
      </c>
      <c r="AF32" s="7" t="s">
        <v>16</v>
      </c>
      <c r="AG32" s="7" t="s">
        <v>947</v>
      </c>
      <c r="AH32" s="7" t="s">
        <v>364</v>
      </c>
      <c r="AI32" s="7" t="s">
        <v>632</v>
      </c>
      <c r="AJ32" s="7" t="s">
        <v>948</v>
      </c>
      <c r="AK32" s="7" t="s">
        <v>612</v>
      </c>
      <c r="AL32" s="7" t="s">
        <v>949</v>
      </c>
      <c r="AM32" s="7" t="s">
        <v>632</v>
      </c>
      <c r="AN32" s="7" t="s">
        <v>950</v>
      </c>
      <c r="AO32" s="7" t="s">
        <v>177</v>
      </c>
      <c r="AP32" s="7" t="s">
        <v>178</v>
      </c>
      <c r="AQ32" s="7" t="s">
        <v>951</v>
      </c>
      <c r="AR32" s="7" t="s">
        <v>952</v>
      </c>
      <c r="AS32" s="7" t="s">
        <v>953</v>
      </c>
      <c r="AT32" s="7" t="s">
        <v>100</v>
      </c>
      <c r="AU32" s="7" t="s">
        <v>291</v>
      </c>
      <c r="AV32" s="7" t="s">
        <v>135</v>
      </c>
      <c r="AW32" s="7" t="s">
        <v>135</v>
      </c>
      <c r="AX32" s="7" t="s">
        <v>954</v>
      </c>
      <c r="AY32" s="7" t="s">
        <v>364</v>
      </c>
      <c r="AZ32" s="7" t="s">
        <v>21</v>
      </c>
      <c r="BA32" s="8">
        <v>23</v>
      </c>
    </row>
    <row r="33" spans="1:53" x14ac:dyDescent="0.25">
      <c r="A33" s="9">
        <v>45803.29684920139</v>
      </c>
      <c r="B33" s="10" t="s">
        <v>181</v>
      </c>
      <c r="C33" s="10" t="s">
        <v>699</v>
      </c>
      <c r="D33" s="10" t="s">
        <v>181</v>
      </c>
      <c r="E33" s="10"/>
      <c r="F33" s="10"/>
      <c r="G33" s="10"/>
      <c r="H33" s="10" t="s">
        <v>181</v>
      </c>
      <c r="I33" s="10"/>
      <c r="J33" s="10"/>
      <c r="K33" s="10" t="s">
        <v>177</v>
      </c>
      <c r="L33" s="10" t="s">
        <v>177</v>
      </c>
      <c r="M33" s="10" t="s">
        <v>627</v>
      </c>
      <c r="N33" s="10" t="s">
        <v>177</v>
      </c>
      <c r="O33" s="10" t="s">
        <v>627</v>
      </c>
      <c r="P33" s="10" t="s">
        <v>181</v>
      </c>
      <c r="Q33" s="10"/>
      <c r="R33" s="10" t="s">
        <v>181</v>
      </c>
      <c r="S33" s="10"/>
      <c r="T33" s="10" t="s">
        <v>177</v>
      </c>
      <c r="U33" s="10" t="s">
        <v>627</v>
      </c>
      <c r="V33" s="10" t="s">
        <v>181</v>
      </c>
      <c r="W33" s="10"/>
      <c r="X33" s="10" t="s">
        <v>181</v>
      </c>
      <c r="Y33" s="10"/>
      <c r="Z33" s="10" t="s">
        <v>177</v>
      </c>
      <c r="AA33" s="10" t="s">
        <v>627</v>
      </c>
      <c r="AB33" s="10" t="s">
        <v>177</v>
      </c>
      <c r="AC33" s="10" t="s">
        <v>608</v>
      </c>
      <c r="AD33" s="10" t="s">
        <v>955</v>
      </c>
      <c r="AE33" s="10" t="s">
        <v>956</v>
      </c>
      <c r="AF33" s="10" t="s">
        <v>16</v>
      </c>
      <c r="AG33" s="10" t="s">
        <v>957</v>
      </c>
      <c r="AH33" s="10" t="s">
        <v>364</v>
      </c>
      <c r="AI33" s="10" t="s">
        <v>612</v>
      </c>
      <c r="AJ33" s="10" t="s">
        <v>958</v>
      </c>
      <c r="AK33" s="10" t="s">
        <v>612</v>
      </c>
      <c r="AL33" s="10" t="s">
        <v>959</v>
      </c>
      <c r="AM33" s="10" t="s">
        <v>612</v>
      </c>
      <c r="AN33" s="10" t="s">
        <v>960</v>
      </c>
      <c r="AO33" s="10" t="s">
        <v>177</v>
      </c>
      <c r="AP33" s="10" t="s">
        <v>178</v>
      </c>
      <c r="AQ33" s="10" t="s">
        <v>961</v>
      </c>
      <c r="AR33" s="10" t="s">
        <v>962</v>
      </c>
      <c r="AS33" s="10" t="s">
        <v>963</v>
      </c>
      <c r="AT33" s="10" t="s">
        <v>18</v>
      </c>
      <c r="AU33" s="10" t="s">
        <v>70</v>
      </c>
      <c r="AV33" s="10" t="s">
        <v>20</v>
      </c>
      <c r="AW33" s="10" t="s">
        <v>20</v>
      </c>
      <c r="AX33" s="11" t="s">
        <v>684</v>
      </c>
      <c r="AY33" s="10" t="s">
        <v>364</v>
      </c>
      <c r="AZ33" s="10" t="s">
        <v>34</v>
      </c>
      <c r="BA33" s="12">
        <v>23</v>
      </c>
    </row>
    <row r="34" spans="1:53" x14ac:dyDescent="0.25">
      <c r="A34" s="6">
        <v>45803.692669849537</v>
      </c>
      <c r="B34" s="7" t="s">
        <v>181</v>
      </c>
      <c r="C34" s="7" t="s">
        <v>699</v>
      </c>
      <c r="D34" s="7" t="s">
        <v>181</v>
      </c>
      <c r="E34" s="7"/>
      <c r="F34" s="7"/>
      <c r="G34" s="7"/>
      <c r="H34" s="7" t="s">
        <v>181</v>
      </c>
      <c r="I34" s="7"/>
      <c r="J34" s="7"/>
      <c r="K34" s="7" t="s">
        <v>177</v>
      </c>
      <c r="L34" s="7" t="s">
        <v>181</v>
      </c>
      <c r="M34" s="7"/>
      <c r="N34" s="7" t="s">
        <v>181</v>
      </c>
      <c r="O34" s="7"/>
      <c r="P34" s="7" t="s">
        <v>177</v>
      </c>
      <c r="Q34" s="7" t="s">
        <v>627</v>
      </c>
      <c r="R34" s="7" t="s">
        <v>177</v>
      </c>
      <c r="S34" s="7" t="s">
        <v>627</v>
      </c>
      <c r="T34" s="7" t="s">
        <v>177</v>
      </c>
      <c r="U34" s="7" t="s">
        <v>608</v>
      </c>
      <c r="V34" s="7" t="s">
        <v>177</v>
      </c>
      <c r="W34" s="7" t="s">
        <v>608</v>
      </c>
      <c r="X34" s="7" t="s">
        <v>181</v>
      </c>
      <c r="Y34" s="7"/>
      <c r="Z34" s="7" t="s">
        <v>177</v>
      </c>
      <c r="AA34" s="7" t="s">
        <v>627</v>
      </c>
      <c r="AB34" s="7" t="s">
        <v>177</v>
      </c>
      <c r="AC34" s="7" t="s">
        <v>608</v>
      </c>
      <c r="AD34" s="7" t="s">
        <v>628</v>
      </c>
      <c r="AE34" s="7" t="s">
        <v>964</v>
      </c>
      <c r="AF34" s="7" t="s">
        <v>16</v>
      </c>
      <c r="AG34" s="7" t="s">
        <v>663</v>
      </c>
      <c r="AH34" s="7" t="s">
        <v>364</v>
      </c>
      <c r="AI34" s="7" t="s">
        <v>612</v>
      </c>
      <c r="AJ34" s="7" t="s">
        <v>965</v>
      </c>
      <c r="AK34" s="7" t="s">
        <v>612</v>
      </c>
      <c r="AL34" s="7" t="s">
        <v>966</v>
      </c>
      <c r="AM34" s="7" t="s">
        <v>612</v>
      </c>
      <c r="AN34" s="7" t="s">
        <v>967</v>
      </c>
      <c r="AO34" s="7" t="s">
        <v>177</v>
      </c>
      <c r="AP34" s="7" t="s">
        <v>178</v>
      </c>
      <c r="AQ34" s="7" t="s">
        <v>968</v>
      </c>
      <c r="AR34" s="7" t="s">
        <v>969</v>
      </c>
      <c r="AS34" s="7" t="s">
        <v>970</v>
      </c>
      <c r="AT34" s="7" t="s">
        <v>18</v>
      </c>
      <c r="AU34" s="7" t="s">
        <v>56</v>
      </c>
      <c r="AV34" s="7" t="s">
        <v>20</v>
      </c>
      <c r="AW34" s="7" t="s">
        <v>20</v>
      </c>
      <c r="AX34" s="13" t="s">
        <v>971</v>
      </c>
      <c r="AY34" s="7" t="s">
        <v>364</v>
      </c>
      <c r="AZ34" s="7" t="s">
        <v>34</v>
      </c>
      <c r="BA34" s="8">
        <v>23</v>
      </c>
    </row>
    <row r="35" spans="1:53" x14ac:dyDescent="0.25">
      <c r="A35" s="9">
        <v>45803.744399212963</v>
      </c>
      <c r="B35" s="10" t="s">
        <v>181</v>
      </c>
      <c r="C35" s="10" t="s">
        <v>699</v>
      </c>
      <c r="D35" s="10" t="s">
        <v>181</v>
      </c>
      <c r="E35" s="10"/>
      <c r="F35" s="10"/>
      <c r="G35" s="10"/>
      <c r="H35" s="10" t="s">
        <v>181</v>
      </c>
      <c r="I35" s="10"/>
      <c r="J35" s="10"/>
      <c r="K35" s="10" t="s">
        <v>181</v>
      </c>
      <c r="L35" s="10"/>
      <c r="M35" s="10"/>
      <c r="N35" s="10"/>
      <c r="O35" s="10"/>
      <c r="P35" s="10"/>
      <c r="Q35" s="10"/>
      <c r="R35" s="10"/>
      <c r="S35" s="10"/>
      <c r="T35" s="10"/>
      <c r="U35" s="10"/>
      <c r="V35" s="10"/>
      <c r="W35" s="10"/>
      <c r="X35" s="10"/>
      <c r="Y35" s="10"/>
      <c r="Z35" s="10"/>
      <c r="AA35" s="10"/>
      <c r="AB35" s="10"/>
      <c r="AC35" s="10"/>
      <c r="AD35" s="10"/>
      <c r="AE35" s="10" t="s">
        <v>972</v>
      </c>
      <c r="AF35" s="10" t="s">
        <v>16</v>
      </c>
      <c r="AG35" s="10" t="s">
        <v>800</v>
      </c>
      <c r="AH35" s="10" t="s">
        <v>364</v>
      </c>
      <c r="AI35" s="10" t="s">
        <v>632</v>
      </c>
      <c r="AJ35" s="10" t="s">
        <v>973</v>
      </c>
      <c r="AK35" s="10" t="s">
        <v>612</v>
      </c>
      <c r="AL35" s="10" t="s">
        <v>974</v>
      </c>
      <c r="AM35" s="10" t="s">
        <v>632</v>
      </c>
      <c r="AN35" s="10" t="s">
        <v>975</v>
      </c>
      <c r="AO35" s="10" t="s">
        <v>181</v>
      </c>
      <c r="AP35" s="10" t="s">
        <v>178</v>
      </c>
      <c r="AQ35" s="10" t="s">
        <v>976</v>
      </c>
      <c r="AR35" s="10" t="s">
        <v>977</v>
      </c>
      <c r="AS35" s="10" t="s">
        <v>978</v>
      </c>
      <c r="AT35" s="10" t="s">
        <v>18</v>
      </c>
      <c r="AU35" s="10" t="s">
        <v>56</v>
      </c>
      <c r="AV35" s="10" t="s">
        <v>20</v>
      </c>
      <c r="AW35" s="10" t="s">
        <v>135</v>
      </c>
      <c r="AX35" s="11" t="s">
        <v>722</v>
      </c>
      <c r="AY35" s="10" t="s">
        <v>364</v>
      </c>
      <c r="AZ35" s="10" t="s">
        <v>34</v>
      </c>
      <c r="BA35" s="12">
        <v>22</v>
      </c>
    </row>
    <row r="36" spans="1:53" x14ac:dyDescent="0.25">
      <c r="A36" s="6">
        <v>45805.092551319445</v>
      </c>
      <c r="B36" s="7" t="s">
        <v>177</v>
      </c>
      <c r="C36" s="7" t="s">
        <v>699</v>
      </c>
      <c r="D36" s="7" t="s">
        <v>181</v>
      </c>
      <c r="E36" s="7"/>
      <c r="F36" s="7"/>
      <c r="G36" s="7"/>
      <c r="H36" s="7" t="s">
        <v>177</v>
      </c>
      <c r="I36" s="7" t="s">
        <v>979</v>
      </c>
      <c r="J36" s="7" t="s">
        <v>979</v>
      </c>
      <c r="K36" s="7" t="s">
        <v>181</v>
      </c>
      <c r="L36" s="7"/>
      <c r="M36" s="7"/>
      <c r="N36" s="7"/>
      <c r="O36" s="7"/>
      <c r="P36" s="7"/>
      <c r="Q36" s="7"/>
      <c r="R36" s="7"/>
      <c r="S36" s="7"/>
      <c r="T36" s="7"/>
      <c r="U36" s="7"/>
      <c r="V36" s="7"/>
      <c r="W36" s="7"/>
      <c r="X36" s="7"/>
      <c r="Y36" s="7"/>
      <c r="Z36" s="7"/>
      <c r="AA36" s="7"/>
      <c r="AB36" s="7"/>
      <c r="AC36" s="7"/>
      <c r="AD36" s="7"/>
      <c r="AE36" s="7" t="s">
        <v>980</v>
      </c>
      <c r="AF36" s="7" t="s">
        <v>16</v>
      </c>
      <c r="AG36" s="7" t="s">
        <v>981</v>
      </c>
      <c r="AH36" s="7" t="s">
        <v>982</v>
      </c>
      <c r="AI36" s="7" t="s">
        <v>612</v>
      </c>
      <c r="AJ36" s="7" t="s">
        <v>612</v>
      </c>
      <c r="AK36" s="7" t="s">
        <v>612</v>
      </c>
      <c r="AL36" s="7" t="s">
        <v>612</v>
      </c>
      <c r="AM36" s="7" t="s">
        <v>612</v>
      </c>
      <c r="AN36" s="7" t="s">
        <v>612</v>
      </c>
      <c r="AO36" s="7" t="s">
        <v>177</v>
      </c>
      <c r="AP36" s="7" t="s">
        <v>178</v>
      </c>
      <c r="AQ36" s="7" t="s">
        <v>983</v>
      </c>
      <c r="AR36" s="7" t="s">
        <v>984</v>
      </c>
      <c r="AS36" s="7" t="s">
        <v>982</v>
      </c>
      <c r="AT36" s="7" t="s">
        <v>100</v>
      </c>
      <c r="AU36" s="7" t="s">
        <v>46</v>
      </c>
      <c r="AV36" s="7" t="s">
        <v>985</v>
      </c>
      <c r="AW36" s="7" t="s">
        <v>985</v>
      </c>
      <c r="AX36" s="7" t="s">
        <v>986</v>
      </c>
      <c r="AY36" s="7" t="s">
        <v>364</v>
      </c>
      <c r="AZ36" s="7" t="s">
        <v>21</v>
      </c>
      <c r="BA36" s="8">
        <v>23</v>
      </c>
    </row>
    <row r="37" spans="1:53" x14ac:dyDescent="0.25">
      <c r="A37" s="9">
        <v>45807.347321168985</v>
      </c>
      <c r="B37" s="10" t="s">
        <v>181</v>
      </c>
      <c r="C37" s="10" t="s">
        <v>699</v>
      </c>
      <c r="D37" s="10" t="s">
        <v>181</v>
      </c>
      <c r="H37" s="10" t="s">
        <v>177</v>
      </c>
      <c r="I37" s="10" t="s">
        <v>646</v>
      </c>
      <c r="J37" s="10" t="s">
        <v>987</v>
      </c>
      <c r="K37" s="10" t="s">
        <v>177</v>
      </c>
      <c r="L37" s="10" t="s">
        <v>181</v>
      </c>
      <c r="N37" s="10" t="s">
        <v>181</v>
      </c>
      <c r="P37" s="10" t="s">
        <v>181</v>
      </c>
      <c r="R37" s="10" t="s">
        <v>177</v>
      </c>
      <c r="S37" s="10" t="s">
        <v>627</v>
      </c>
      <c r="T37" s="10" t="s">
        <v>177</v>
      </c>
      <c r="U37" s="10" t="s">
        <v>627</v>
      </c>
      <c r="V37" s="10" t="s">
        <v>177</v>
      </c>
      <c r="W37" s="10" t="s">
        <v>627</v>
      </c>
      <c r="X37" s="10" t="s">
        <v>181</v>
      </c>
      <c r="Z37" s="10" t="s">
        <v>177</v>
      </c>
      <c r="AA37" s="10" t="s">
        <v>627</v>
      </c>
      <c r="AB37" s="10" t="s">
        <v>177</v>
      </c>
      <c r="AC37" s="10" t="s">
        <v>608</v>
      </c>
      <c r="AD37" s="10" t="s">
        <v>628</v>
      </c>
      <c r="AE37" s="10" t="s">
        <v>988</v>
      </c>
      <c r="AF37" s="10" t="s">
        <v>16</v>
      </c>
      <c r="AG37" s="10" t="s">
        <v>989</v>
      </c>
      <c r="AH37" s="10" t="s">
        <v>990</v>
      </c>
      <c r="AI37" s="10" t="s">
        <v>612</v>
      </c>
      <c r="AJ37" s="10" t="s">
        <v>991</v>
      </c>
      <c r="AK37" s="10" t="s">
        <v>612</v>
      </c>
      <c r="AL37" s="10" t="s">
        <v>992</v>
      </c>
      <c r="AM37" s="10" t="s">
        <v>632</v>
      </c>
      <c r="AN37" s="10" t="s">
        <v>993</v>
      </c>
      <c r="AO37" s="10" t="s">
        <v>177</v>
      </c>
      <c r="AP37" s="10" t="s">
        <v>294</v>
      </c>
      <c r="AQ37" s="10" t="s">
        <v>994</v>
      </c>
      <c r="AR37" s="10" t="s">
        <v>995</v>
      </c>
      <c r="AS37" s="10" t="s">
        <v>996</v>
      </c>
      <c r="AT37" s="10" t="s">
        <v>100</v>
      </c>
      <c r="AU37" s="10" t="s">
        <v>280</v>
      </c>
      <c r="AV37" s="10" t="s">
        <v>135</v>
      </c>
      <c r="AW37" s="10" t="s">
        <v>135</v>
      </c>
      <c r="AX37" s="11" t="s">
        <v>997</v>
      </c>
      <c r="AY37" s="10" t="s">
        <v>364</v>
      </c>
      <c r="AZ37" s="10" t="s">
        <v>21</v>
      </c>
      <c r="BA37" s="12">
        <v>24</v>
      </c>
    </row>
    <row r="38" spans="1:53" x14ac:dyDescent="0.25">
      <c r="A38" s="6">
        <v>45807.395422754635</v>
      </c>
      <c r="B38" s="7" t="s">
        <v>177</v>
      </c>
      <c r="C38" s="7" t="s">
        <v>661</v>
      </c>
      <c r="D38" s="7" t="s">
        <v>177</v>
      </c>
      <c r="E38" s="7" t="s">
        <v>624</v>
      </c>
      <c r="F38" s="7" t="s">
        <v>625</v>
      </c>
      <c r="G38" s="7" t="s">
        <v>998</v>
      </c>
      <c r="H38" s="7" t="s">
        <v>181</v>
      </c>
      <c r="K38" s="7" t="s">
        <v>181</v>
      </c>
      <c r="AE38" s="7" t="s">
        <v>999</v>
      </c>
      <c r="AF38" s="7" t="s">
        <v>16</v>
      </c>
      <c r="AG38" s="7" t="s">
        <v>901</v>
      </c>
      <c r="AH38" s="7" t="s">
        <v>364</v>
      </c>
      <c r="AI38" s="7" t="s">
        <v>612</v>
      </c>
      <c r="AJ38" s="7" t="s">
        <v>1000</v>
      </c>
      <c r="AK38" s="7" t="s">
        <v>612</v>
      </c>
      <c r="AL38" s="7" t="s">
        <v>1001</v>
      </c>
      <c r="AM38" s="7" t="s">
        <v>612</v>
      </c>
      <c r="AN38" s="7" t="s">
        <v>1002</v>
      </c>
      <c r="AP38" s="7" t="s">
        <v>294</v>
      </c>
      <c r="AQ38" s="7" t="s">
        <v>1003</v>
      </c>
      <c r="AR38" s="7" t="s">
        <v>1004</v>
      </c>
      <c r="AS38" s="7" t="s">
        <v>1005</v>
      </c>
      <c r="AT38" s="7" t="s">
        <v>100</v>
      </c>
      <c r="AU38" s="7" t="s">
        <v>30</v>
      </c>
      <c r="AV38" s="7" t="s">
        <v>1006</v>
      </c>
      <c r="AW38" s="7" t="s">
        <v>1007</v>
      </c>
      <c r="AX38" s="13" t="s">
        <v>1008</v>
      </c>
      <c r="AY38" s="13" t="s">
        <v>684</v>
      </c>
      <c r="AZ38" s="7" t="s">
        <v>21</v>
      </c>
      <c r="BA38" s="8">
        <v>25</v>
      </c>
    </row>
    <row r="39" spans="1:53" x14ac:dyDescent="0.25">
      <c r="A39" s="9">
        <v>45807.409812002312</v>
      </c>
      <c r="B39" s="10" t="s">
        <v>177</v>
      </c>
      <c r="C39" s="10" t="s">
        <v>1009</v>
      </c>
      <c r="D39" s="10" t="s">
        <v>181</v>
      </c>
      <c r="H39" s="10" t="s">
        <v>181</v>
      </c>
      <c r="K39" s="10" t="s">
        <v>181</v>
      </c>
      <c r="AE39" s="10" t="s">
        <v>1010</v>
      </c>
      <c r="AF39" s="10" t="s">
        <v>16</v>
      </c>
      <c r="AG39" s="10" t="s">
        <v>630</v>
      </c>
      <c r="AH39" s="10" t="s">
        <v>1011</v>
      </c>
      <c r="AI39" s="10" t="s">
        <v>612</v>
      </c>
      <c r="AJ39" s="10" t="s">
        <v>1012</v>
      </c>
      <c r="AK39" s="10" t="s">
        <v>612</v>
      </c>
      <c r="AL39" s="10" t="s">
        <v>1013</v>
      </c>
      <c r="AM39" s="10" t="s">
        <v>612</v>
      </c>
      <c r="AN39" s="10" t="s">
        <v>1014</v>
      </c>
      <c r="AO39" s="10" t="s">
        <v>181</v>
      </c>
      <c r="AP39" s="10" t="s">
        <v>178</v>
      </c>
      <c r="AQ39" s="10" t="s">
        <v>1015</v>
      </c>
      <c r="AR39" s="10" t="s">
        <v>1016</v>
      </c>
      <c r="AS39" s="10" t="s">
        <v>1017</v>
      </c>
      <c r="AT39" s="10" t="s">
        <v>100</v>
      </c>
      <c r="AU39" s="10" t="s">
        <v>1018</v>
      </c>
      <c r="AV39" s="10" t="s">
        <v>135</v>
      </c>
      <c r="AW39" s="10" t="s">
        <v>142</v>
      </c>
      <c r="AX39" s="11" t="s">
        <v>698</v>
      </c>
      <c r="AY39" s="11" t="s">
        <v>684</v>
      </c>
      <c r="AZ39" s="10" t="s">
        <v>21</v>
      </c>
      <c r="BA39" s="12">
        <v>24</v>
      </c>
    </row>
    <row r="40" spans="1:53" x14ac:dyDescent="0.25">
      <c r="A40" s="6">
        <v>45807.441551053242</v>
      </c>
      <c r="B40" s="7" t="s">
        <v>177</v>
      </c>
      <c r="C40" s="7" t="s">
        <v>643</v>
      </c>
      <c r="D40" s="7" t="s">
        <v>177</v>
      </c>
      <c r="E40" s="7" t="s">
        <v>624</v>
      </c>
      <c r="F40" s="7" t="s">
        <v>625</v>
      </c>
      <c r="G40" s="7" t="s">
        <v>1019</v>
      </c>
      <c r="H40" s="7" t="s">
        <v>181</v>
      </c>
      <c r="K40" s="7" t="s">
        <v>177</v>
      </c>
      <c r="L40" s="7" t="s">
        <v>181</v>
      </c>
      <c r="N40" s="7" t="s">
        <v>181</v>
      </c>
      <c r="P40" s="7" t="s">
        <v>177</v>
      </c>
      <c r="Q40" s="7" t="s">
        <v>608</v>
      </c>
      <c r="R40" s="7" t="s">
        <v>177</v>
      </c>
      <c r="S40" s="7" t="s">
        <v>608</v>
      </c>
      <c r="T40" s="7" t="s">
        <v>177</v>
      </c>
      <c r="U40" s="7" t="s">
        <v>608</v>
      </c>
      <c r="V40" s="7" t="s">
        <v>177</v>
      </c>
      <c r="W40" s="7" t="s">
        <v>609</v>
      </c>
      <c r="X40" s="7" t="s">
        <v>181</v>
      </c>
      <c r="Z40" s="7" t="s">
        <v>177</v>
      </c>
      <c r="AA40" s="7" t="s">
        <v>608</v>
      </c>
      <c r="AB40" s="7" t="s">
        <v>177</v>
      </c>
      <c r="AC40" s="7" t="s">
        <v>609</v>
      </c>
      <c r="AD40" s="7" t="s">
        <v>857</v>
      </c>
      <c r="AE40" s="7" t="s">
        <v>1020</v>
      </c>
      <c r="AF40" s="7" t="s">
        <v>31</v>
      </c>
      <c r="AG40" s="7" t="s">
        <v>1021</v>
      </c>
      <c r="AH40" s="7" t="s">
        <v>364</v>
      </c>
      <c r="AI40" s="7" t="s">
        <v>612</v>
      </c>
      <c r="AJ40" s="7" t="s">
        <v>1022</v>
      </c>
      <c r="AK40" s="7" t="s">
        <v>632</v>
      </c>
      <c r="AL40" s="7" t="s">
        <v>1023</v>
      </c>
      <c r="AM40" s="7" t="s">
        <v>615</v>
      </c>
      <c r="AN40" s="7" t="s">
        <v>1024</v>
      </c>
      <c r="AO40" s="7" t="s">
        <v>181</v>
      </c>
      <c r="AP40" s="7" t="s">
        <v>294</v>
      </c>
      <c r="AQ40" s="7" t="s">
        <v>1025</v>
      </c>
      <c r="AR40" s="7" t="s">
        <v>1026</v>
      </c>
      <c r="AS40" s="7" t="s">
        <v>1027</v>
      </c>
      <c r="AT40" s="7" t="s">
        <v>100</v>
      </c>
      <c r="AU40" s="7" t="s">
        <v>1028</v>
      </c>
      <c r="AV40" s="7" t="s">
        <v>142</v>
      </c>
      <c r="AW40" s="7" t="s">
        <v>1029</v>
      </c>
      <c r="AX40" s="7" t="s">
        <v>1030</v>
      </c>
      <c r="AY40" s="7" t="s">
        <v>897</v>
      </c>
      <c r="AZ40" s="7" t="s">
        <v>21</v>
      </c>
      <c r="BA40" s="8">
        <v>26</v>
      </c>
    </row>
    <row r="41" spans="1:53" x14ac:dyDescent="0.25">
      <c r="A41" s="9">
        <v>45807.498245358795</v>
      </c>
      <c r="B41" s="10" t="s">
        <v>177</v>
      </c>
      <c r="C41" s="10" t="s">
        <v>623</v>
      </c>
      <c r="D41" s="10" t="s">
        <v>177</v>
      </c>
      <c r="E41" s="10" t="s">
        <v>1031</v>
      </c>
      <c r="F41" s="10" t="s">
        <v>625</v>
      </c>
      <c r="G41" s="10" t="s">
        <v>1032</v>
      </c>
      <c r="H41" s="10" t="s">
        <v>181</v>
      </c>
      <c r="K41" s="10" t="s">
        <v>177</v>
      </c>
      <c r="L41" s="10" t="s">
        <v>181</v>
      </c>
      <c r="N41" s="10" t="s">
        <v>181</v>
      </c>
      <c r="P41" s="10" t="s">
        <v>181</v>
      </c>
      <c r="R41" s="10" t="s">
        <v>181</v>
      </c>
      <c r="T41" s="10" t="s">
        <v>181</v>
      </c>
      <c r="V41" s="10" t="s">
        <v>177</v>
      </c>
      <c r="W41" s="10" t="s">
        <v>608</v>
      </c>
      <c r="X41" s="10" t="s">
        <v>181</v>
      </c>
      <c r="Z41" s="10" t="s">
        <v>181</v>
      </c>
      <c r="AB41" s="10" t="s">
        <v>177</v>
      </c>
      <c r="AC41" s="10" t="s">
        <v>609</v>
      </c>
      <c r="AD41" s="10" t="s">
        <v>1033</v>
      </c>
      <c r="AE41" s="10" t="s">
        <v>1034</v>
      </c>
      <c r="AF41" s="10" t="s">
        <v>16</v>
      </c>
      <c r="AG41" s="10" t="s">
        <v>209</v>
      </c>
      <c r="AH41" s="10" t="s">
        <v>364</v>
      </c>
      <c r="AI41" s="10" t="s">
        <v>612</v>
      </c>
      <c r="AJ41" s="10" t="s">
        <v>1035</v>
      </c>
      <c r="AK41" s="10" t="s">
        <v>615</v>
      </c>
      <c r="AL41" s="10" t="s">
        <v>1036</v>
      </c>
      <c r="AM41" s="10" t="s">
        <v>832</v>
      </c>
      <c r="AN41" s="10" t="s">
        <v>1037</v>
      </c>
      <c r="AO41" s="10" t="s">
        <v>181</v>
      </c>
      <c r="AP41" s="10" t="s">
        <v>294</v>
      </c>
      <c r="AQ41" s="10" t="s">
        <v>1038</v>
      </c>
      <c r="AR41" s="10" t="s">
        <v>1039</v>
      </c>
      <c r="AS41" s="10" t="s">
        <v>1040</v>
      </c>
      <c r="AT41" s="10" t="s">
        <v>100</v>
      </c>
      <c r="AU41" s="10" t="s">
        <v>30</v>
      </c>
      <c r="AV41" s="10" t="s">
        <v>142</v>
      </c>
      <c r="AW41" s="10" t="s">
        <v>142</v>
      </c>
      <c r="AX41" s="11" t="s">
        <v>775</v>
      </c>
      <c r="AY41" s="11" t="s">
        <v>1041</v>
      </c>
      <c r="AZ41" s="10" t="s">
        <v>21</v>
      </c>
      <c r="BA41" s="12">
        <v>25</v>
      </c>
    </row>
    <row r="42" spans="1:53" x14ac:dyDescent="0.25">
      <c r="A42" s="6">
        <v>45808.262965972222</v>
      </c>
      <c r="B42" s="7" t="s">
        <v>177</v>
      </c>
      <c r="C42" s="7" t="s">
        <v>607</v>
      </c>
      <c r="D42" s="7" t="s">
        <v>181</v>
      </c>
      <c r="H42" s="7" t="s">
        <v>181</v>
      </c>
      <c r="K42" s="7" t="s">
        <v>1042</v>
      </c>
      <c r="L42" s="7" t="s">
        <v>181</v>
      </c>
      <c r="N42" s="7" t="s">
        <v>181</v>
      </c>
      <c r="P42" s="7" t="s">
        <v>177</v>
      </c>
      <c r="Q42" s="7" t="s">
        <v>627</v>
      </c>
      <c r="R42" s="7" t="s">
        <v>177</v>
      </c>
      <c r="S42" s="7" t="s">
        <v>608</v>
      </c>
      <c r="T42" s="7" t="s">
        <v>177</v>
      </c>
      <c r="U42" s="7" t="s">
        <v>609</v>
      </c>
      <c r="V42" s="7" t="s">
        <v>177</v>
      </c>
      <c r="W42" s="7" t="s">
        <v>608</v>
      </c>
      <c r="X42" s="7" t="s">
        <v>181</v>
      </c>
      <c r="Z42" s="7" t="s">
        <v>181</v>
      </c>
      <c r="AB42" s="7" t="s">
        <v>177</v>
      </c>
      <c r="AC42" s="7" t="s">
        <v>609</v>
      </c>
      <c r="AD42" s="7" t="s">
        <v>1043</v>
      </c>
      <c r="AE42" s="7" t="s">
        <v>1044</v>
      </c>
      <c r="AF42" s="7" t="s">
        <v>16</v>
      </c>
      <c r="AG42" s="7" t="s">
        <v>1045</v>
      </c>
      <c r="AH42" s="7" t="s">
        <v>364</v>
      </c>
      <c r="AI42" s="7" t="s">
        <v>612</v>
      </c>
      <c r="AJ42" s="7" t="s">
        <v>1046</v>
      </c>
      <c r="AK42" s="7" t="s">
        <v>612</v>
      </c>
      <c r="AL42" s="7" t="s">
        <v>1047</v>
      </c>
      <c r="AM42" s="7" t="s">
        <v>832</v>
      </c>
      <c r="AN42" s="7" t="s">
        <v>1048</v>
      </c>
      <c r="AO42" s="7" t="s">
        <v>181</v>
      </c>
      <c r="AP42" s="7" t="s">
        <v>178</v>
      </c>
      <c r="AQ42" s="7" t="s">
        <v>1049</v>
      </c>
      <c r="AR42" s="7" t="s">
        <v>1050</v>
      </c>
      <c r="AS42" s="7" t="s">
        <v>1051</v>
      </c>
      <c r="AT42" s="7" t="s">
        <v>100</v>
      </c>
      <c r="AU42" s="7" t="s">
        <v>1052</v>
      </c>
      <c r="AV42" s="7" t="s">
        <v>1053</v>
      </c>
      <c r="AW42" s="7" t="s">
        <v>1053</v>
      </c>
      <c r="AX42" s="13" t="s">
        <v>684</v>
      </c>
      <c r="AY42" s="13" t="s">
        <v>698</v>
      </c>
      <c r="AZ42" s="7" t="s">
        <v>21</v>
      </c>
      <c r="BA42" s="8">
        <v>24</v>
      </c>
    </row>
    <row r="43" spans="1:53" x14ac:dyDescent="0.25">
      <c r="A43" s="14">
        <v>45808.726984016204</v>
      </c>
      <c r="B43" s="15" t="s">
        <v>177</v>
      </c>
      <c r="C43" s="15" t="s">
        <v>643</v>
      </c>
      <c r="D43" s="15" t="s">
        <v>177</v>
      </c>
      <c r="E43" s="15" t="s">
        <v>624</v>
      </c>
      <c r="F43" s="15" t="s">
        <v>625</v>
      </c>
      <c r="G43" s="15" t="s">
        <v>1054</v>
      </c>
      <c r="H43" s="15" t="s">
        <v>181</v>
      </c>
      <c r="K43" s="15" t="s">
        <v>181</v>
      </c>
      <c r="AE43" s="15" t="s">
        <v>1055</v>
      </c>
      <c r="AF43" s="15" t="s">
        <v>16</v>
      </c>
      <c r="AG43" s="15" t="s">
        <v>1056</v>
      </c>
      <c r="AH43" s="15" t="s">
        <v>429</v>
      </c>
      <c r="AI43" s="15" t="s">
        <v>632</v>
      </c>
      <c r="AJ43" s="15" t="s">
        <v>1057</v>
      </c>
      <c r="AK43" s="15" t="s">
        <v>632</v>
      </c>
      <c r="AL43" s="15" t="s">
        <v>1058</v>
      </c>
      <c r="AM43" s="15" t="s">
        <v>612</v>
      </c>
      <c r="AN43" s="15" t="s">
        <v>1059</v>
      </c>
      <c r="AO43" s="15" t="s">
        <v>181</v>
      </c>
      <c r="AP43" s="15" t="s">
        <v>294</v>
      </c>
      <c r="AQ43" s="15" t="s">
        <v>1060</v>
      </c>
      <c r="AR43" s="15" t="s">
        <v>1061</v>
      </c>
      <c r="AS43" s="15" t="s">
        <v>1062</v>
      </c>
      <c r="AT43" s="15" t="s">
        <v>100</v>
      </c>
      <c r="AU43" s="15" t="s">
        <v>30</v>
      </c>
      <c r="AV43" s="15" t="s">
        <v>114</v>
      </c>
      <c r="AW43" s="15" t="s">
        <v>114</v>
      </c>
      <c r="AX43" s="16" t="s">
        <v>775</v>
      </c>
      <c r="AY43" s="16" t="s">
        <v>1063</v>
      </c>
      <c r="AZ43" s="15" t="s">
        <v>21</v>
      </c>
      <c r="BA43" s="17">
        <v>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4EC3E-04EB-4F3D-816D-12C938731A85}">
  <dimension ref="A1:H24"/>
  <sheetViews>
    <sheetView workbookViewId="0">
      <selection sqref="A1:XFD1048576"/>
    </sheetView>
  </sheetViews>
  <sheetFormatPr defaultColWidth="9.1796875" defaultRowHeight="15.5" x14ac:dyDescent="0.35"/>
  <cols>
    <col min="1" max="1" width="9.1796875" style="25"/>
    <col min="2" max="4" width="17.7265625" style="28" bestFit="1" customWidth="1"/>
    <col min="5" max="7" width="17.7265625" style="29" bestFit="1" customWidth="1"/>
    <col min="8" max="8" width="9.1796875" style="29"/>
    <col min="9" max="16384" width="9.1796875" style="20"/>
  </cols>
  <sheetData>
    <row r="1" spans="1:8" x14ac:dyDescent="0.35">
      <c r="A1" s="18" t="s">
        <v>1064</v>
      </c>
      <c r="B1" s="19" t="s">
        <v>1065</v>
      </c>
      <c r="C1" s="19" t="s">
        <v>1066</v>
      </c>
      <c r="D1" s="19" t="s">
        <v>1067</v>
      </c>
      <c r="E1" s="19" t="s">
        <v>1068</v>
      </c>
      <c r="F1" s="19" t="s">
        <v>1069</v>
      </c>
      <c r="G1" s="19" t="s">
        <v>1070</v>
      </c>
      <c r="H1" s="19" t="s">
        <v>15</v>
      </c>
    </row>
    <row r="2" spans="1:8" x14ac:dyDescent="0.35">
      <c r="A2" s="21">
        <v>1</v>
      </c>
      <c r="B2" s="22">
        <v>63.333333333333336</v>
      </c>
      <c r="C2" s="21">
        <v>83</v>
      </c>
      <c r="D2" s="21">
        <v>77</v>
      </c>
      <c r="E2" s="22">
        <v>84.615384615384599</v>
      </c>
      <c r="F2" s="23"/>
      <c r="G2" s="23">
        <v>83</v>
      </c>
      <c r="H2" s="24">
        <f>(B2+C2+D2+E2+G2)/5</f>
        <v>78.189743589743586</v>
      </c>
    </row>
    <row r="3" spans="1:8" x14ac:dyDescent="0.35">
      <c r="A3" s="21">
        <v>2</v>
      </c>
      <c r="B3" s="22">
        <v>66.666666666666671</v>
      </c>
      <c r="C3" s="21">
        <v>87</v>
      </c>
      <c r="D3" s="21">
        <v>89</v>
      </c>
      <c r="E3" s="22">
        <v>92.307692307692307</v>
      </c>
      <c r="F3" s="23"/>
      <c r="G3" s="23">
        <v>95</v>
      </c>
      <c r="H3" s="24">
        <f t="shared" ref="H3:H19" si="0">(B3+C3+D3+E3+G3)/5</f>
        <v>85.994871794871798</v>
      </c>
    </row>
    <row r="4" spans="1:8" x14ac:dyDescent="0.35">
      <c r="A4" s="21">
        <v>3</v>
      </c>
      <c r="B4" s="22">
        <v>86.666666666666671</v>
      </c>
      <c r="C4" s="21">
        <v>91</v>
      </c>
      <c r="D4" s="21">
        <v>91</v>
      </c>
      <c r="E4" s="22">
        <v>100</v>
      </c>
      <c r="F4" s="23"/>
      <c r="G4" s="23">
        <v>70</v>
      </c>
      <c r="H4" s="24">
        <f t="shared" si="0"/>
        <v>87.733333333333334</v>
      </c>
    </row>
    <row r="5" spans="1:8" x14ac:dyDescent="0.35">
      <c r="A5" s="21">
        <v>4</v>
      </c>
      <c r="B5" s="22">
        <v>50</v>
      </c>
      <c r="C5" s="21">
        <v>67</v>
      </c>
      <c r="D5" s="21">
        <v>80</v>
      </c>
      <c r="E5" s="22">
        <v>76.92307692307692</v>
      </c>
      <c r="F5" s="23"/>
      <c r="G5" s="23">
        <v>78</v>
      </c>
      <c r="H5" s="24">
        <f t="shared" si="0"/>
        <v>70.384615384615387</v>
      </c>
    </row>
    <row r="6" spans="1:8" x14ac:dyDescent="0.35">
      <c r="A6" s="21">
        <v>5</v>
      </c>
      <c r="B6" s="22">
        <v>80</v>
      </c>
      <c r="C6" s="21">
        <v>89</v>
      </c>
      <c r="D6" s="21">
        <v>92</v>
      </c>
      <c r="E6" s="22">
        <v>100</v>
      </c>
      <c r="F6" s="23"/>
      <c r="G6" s="23">
        <v>90</v>
      </c>
      <c r="H6" s="24">
        <f t="shared" si="0"/>
        <v>90.2</v>
      </c>
    </row>
    <row r="7" spans="1:8" x14ac:dyDescent="0.35">
      <c r="A7" s="21">
        <v>6</v>
      </c>
      <c r="B7" s="22">
        <v>70</v>
      </c>
      <c r="C7" s="21">
        <v>76</v>
      </c>
      <c r="D7" s="21">
        <v>87</v>
      </c>
      <c r="E7" s="22">
        <v>84.615384615384613</v>
      </c>
      <c r="F7" s="23"/>
      <c r="G7" s="23">
        <v>75</v>
      </c>
      <c r="H7" s="24">
        <f t="shared" si="0"/>
        <v>78.523076923076928</v>
      </c>
    </row>
    <row r="8" spans="1:8" x14ac:dyDescent="0.35">
      <c r="A8" s="21">
        <v>7</v>
      </c>
      <c r="B8" s="22">
        <v>80</v>
      </c>
      <c r="C8" s="21">
        <v>89</v>
      </c>
      <c r="D8" s="21">
        <v>88</v>
      </c>
      <c r="E8" s="22">
        <v>92.307692307692307</v>
      </c>
      <c r="F8" s="23"/>
      <c r="G8" s="23">
        <v>94</v>
      </c>
      <c r="H8" s="24">
        <f t="shared" si="0"/>
        <v>88.66153846153847</v>
      </c>
    </row>
    <row r="9" spans="1:8" x14ac:dyDescent="0.35">
      <c r="A9" s="21">
        <v>8</v>
      </c>
      <c r="B9" s="22">
        <v>80</v>
      </c>
      <c r="C9" s="21">
        <v>72</v>
      </c>
      <c r="D9" s="21">
        <v>87</v>
      </c>
      <c r="E9" s="22">
        <v>92.307692307692307</v>
      </c>
      <c r="F9" s="23"/>
      <c r="G9" s="23">
        <v>80</v>
      </c>
      <c r="H9" s="24">
        <f t="shared" si="0"/>
        <v>82.261538461538464</v>
      </c>
    </row>
    <row r="10" spans="1:8" x14ac:dyDescent="0.35">
      <c r="A10" s="21">
        <v>9</v>
      </c>
      <c r="B10" s="22">
        <v>83.333333333333329</v>
      </c>
      <c r="C10" s="21">
        <v>60</v>
      </c>
      <c r="D10" s="21">
        <v>83</v>
      </c>
      <c r="E10" s="22">
        <v>92.307692307692307</v>
      </c>
      <c r="F10" s="23"/>
      <c r="G10" s="23">
        <v>93</v>
      </c>
      <c r="H10" s="24">
        <f t="shared" si="0"/>
        <v>82.328205128205127</v>
      </c>
    </row>
    <row r="11" spans="1:8" x14ac:dyDescent="0.35">
      <c r="A11" s="21">
        <v>10</v>
      </c>
      <c r="B11" s="22">
        <v>96.666666666666671</v>
      </c>
      <c r="C11" s="21">
        <v>76</v>
      </c>
      <c r="D11" s="21">
        <v>84</v>
      </c>
      <c r="E11" s="22">
        <v>100</v>
      </c>
      <c r="F11" s="23"/>
      <c r="G11" s="23">
        <v>95</v>
      </c>
      <c r="H11" s="24">
        <f t="shared" si="0"/>
        <v>90.333333333333343</v>
      </c>
    </row>
    <row r="12" spans="1:8" x14ac:dyDescent="0.35">
      <c r="A12" s="21">
        <v>11</v>
      </c>
      <c r="B12" s="22">
        <v>80</v>
      </c>
      <c r="C12" s="21">
        <v>68</v>
      </c>
      <c r="D12" s="21">
        <v>88</v>
      </c>
      <c r="E12" s="22">
        <v>79.230769230769226</v>
      </c>
      <c r="F12" s="23"/>
      <c r="G12" s="23">
        <v>90</v>
      </c>
      <c r="H12" s="24">
        <f t="shared" si="0"/>
        <v>81.046153846153842</v>
      </c>
    </row>
    <row r="13" spans="1:8" x14ac:dyDescent="0.35">
      <c r="A13" s="21">
        <v>12</v>
      </c>
      <c r="B13" s="22">
        <v>46.666666666666664</v>
      </c>
      <c r="C13" s="21">
        <v>61</v>
      </c>
      <c r="D13" s="21">
        <v>87</v>
      </c>
      <c r="E13" s="22">
        <v>100</v>
      </c>
      <c r="F13" s="23"/>
      <c r="G13" s="23">
        <v>95</v>
      </c>
      <c r="H13" s="24">
        <f t="shared" si="0"/>
        <v>77.933333333333323</v>
      </c>
    </row>
    <row r="14" spans="1:8" x14ac:dyDescent="0.35">
      <c r="A14" s="21">
        <v>13</v>
      </c>
      <c r="B14" s="22">
        <v>86.666666666666671</v>
      </c>
      <c r="C14" s="21">
        <v>73</v>
      </c>
      <c r="D14" s="21">
        <v>82</v>
      </c>
      <c r="E14" s="22">
        <v>100</v>
      </c>
      <c r="F14" s="23"/>
      <c r="G14" s="23">
        <v>80</v>
      </c>
      <c r="H14" s="24">
        <f t="shared" si="0"/>
        <v>84.333333333333343</v>
      </c>
    </row>
    <row r="15" spans="1:8" x14ac:dyDescent="0.35">
      <c r="A15" s="21">
        <v>14</v>
      </c>
      <c r="B15" s="22">
        <v>63.333333333333336</v>
      </c>
      <c r="C15" s="21">
        <v>73</v>
      </c>
      <c r="D15" s="21">
        <v>81</v>
      </c>
      <c r="E15" s="22">
        <v>92.307692307692307</v>
      </c>
      <c r="F15" s="23"/>
      <c r="G15" s="23">
        <v>73</v>
      </c>
      <c r="H15" s="24">
        <f t="shared" si="0"/>
        <v>76.52820512820513</v>
      </c>
    </row>
    <row r="16" spans="1:8" x14ac:dyDescent="0.35">
      <c r="A16" s="21">
        <v>15</v>
      </c>
      <c r="B16" s="22">
        <v>60</v>
      </c>
      <c r="C16" s="21">
        <v>65</v>
      </c>
      <c r="D16" s="21">
        <v>93</v>
      </c>
      <c r="E16" s="22">
        <v>92.307692307692307</v>
      </c>
      <c r="F16" s="23"/>
      <c r="G16" s="23">
        <v>95</v>
      </c>
      <c r="H16" s="24">
        <f t="shared" si="0"/>
        <v>81.061538461538461</v>
      </c>
    </row>
    <row r="17" spans="1:8" x14ac:dyDescent="0.35">
      <c r="A17" s="21">
        <v>16</v>
      </c>
      <c r="B17" s="22">
        <v>93.333333333333329</v>
      </c>
      <c r="C17" s="21">
        <v>92</v>
      </c>
      <c r="D17" s="21">
        <v>90</v>
      </c>
      <c r="E17" s="22">
        <v>96.15384615384616</v>
      </c>
      <c r="F17" s="23"/>
      <c r="G17" s="23">
        <v>85.5</v>
      </c>
      <c r="H17" s="24">
        <f t="shared" si="0"/>
        <v>91.397435897435884</v>
      </c>
    </row>
    <row r="18" spans="1:8" x14ac:dyDescent="0.35">
      <c r="A18" s="21">
        <v>17</v>
      </c>
      <c r="B18" s="22">
        <v>90</v>
      </c>
      <c r="C18" s="21">
        <v>88</v>
      </c>
      <c r="D18" s="21">
        <v>94</v>
      </c>
      <c r="E18" s="22">
        <v>84.615384615384613</v>
      </c>
      <c r="F18" s="23"/>
      <c r="G18" s="23">
        <v>90</v>
      </c>
      <c r="H18" s="24">
        <f t="shared" si="0"/>
        <v>89.323076923076925</v>
      </c>
    </row>
    <row r="19" spans="1:8" x14ac:dyDescent="0.35">
      <c r="A19" s="21">
        <v>18</v>
      </c>
      <c r="B19" s="22">
        <v>70</v>
      </c>
      <c r="C19" s="21">
        <v>41</v>
      </c>
      <c r="D19" s="21">
        <v>90</v>
      </c>
      <c r="E19" s="22">
        <v>92.307692307692307</v>
      </c>
      <c r="F19" s="23"/>
      <c r="G19" s="23">
        <v>80</v>
      </c>
      <c r="H19" s="24">
        <f t="shared" si="0"/>
        <v>74.66153846153847</v>
      </c>
    </row>
    <row r="21" spans="1:8" x14ac:dyDescent="0.35">
      <c r="B21" s="26">
        <f>AVERAGE(B2:B19)</f>
        <v>74.81481481481481</v>
      </c>
      <c r="C21" s="26">
        <f t="shared" ref="C21:H21" si="1">AVERAGE(C2:C19)</f>
        <v>75.055555555555557</v>
      </c>
      <c r="D21" s="27">
        <f t="shared" si="1"/>
        <v>86.833333333333329</v>
      </c>
      <c r="E21" s="27">
        <f t="shared" si="1"/>
        <v>91.794871794871796</v>
      </c>
      <c r="F21" s="27"/>
      <c r="G21" s="27">
        <f t="shared" si="1"/>
        <v>85.638888888888886</v>
      </c>
      <c r="H21" s="27">
        <f t="shared" si="1"/>
        <v>82.827492877492872</v>
      </c>
    </row>
    <row r="23" spans="1:8" x14ac:dyDescent="0.35">
      <c r="B23" s="27">
        <f>MEDIAN(B2:B19)</f>
        <v>80</v>
      </c>
      <c r="C23" s="27">
        <f t="shared" ref="C23:H23" si="2">MEDIAN(C2:C19)</f>
        <v>74.5</v>
      </c>
      <c r="D23" s="27">
        <f t="shared" si="2"/>
        <v>87.5</v>
      </c>
      <c r="E23" s="27">
        <f t="shared" si="2"/>
        <v>92.307692307692307</v>
      </c>
      <c r="F23" s="27"/>
      <c r="G23" s="27">
        <f t="shared" si="2"/>
        <v>87.75</v>
      </c>
      <c r="H23" s="27">
        <f t="shared" si="2"/>
        <v>82.294871794871796</v>
      </c>
    </row>
    <row r="24" spans="1:8" x14ac:dyDescent="0.35">
      <c r="B24" s="27"/>
      <c r="C24" s="2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72918-6565-416E-843E-DAC13C27497E}">
  <dimension ref="A1:L33"/>
  <sheetViews>
    <sheetView tabSelected="1" workbookViewId="0">
      <selection activeCell="C35" sqref="C35"/>
    </sheetView>
  </sheetViews>
  <sheetFormatPr defaultRowHeight="12.5" x14ac:dyDescent="0.25"/>
  <cols>
    <col min="2" max="2" width="12.08984375" customWidth="1"/>
    <col min="3" max="3" width="6.81640625" customWidth="1"/>
    <col min="4" max="4" width="8.26953125" customWidth="1"/>
    <col min="5" max="5" width="12.453125" customWidth="1"/>
    <col min="6" max="6" width="12.6328125" customWidth="1"/>
    <col min="7" max="7" width="12.1796875" bestFit="1" customWidth="1"/>
    <col min="8" max="9" width="10.1796875" customWidth="1"/>
    <col min="10" max="10" width="2.81640625" customWidth="1"/>
    <col min="11" max="11" width="9.1796875" bestFit="1" customWidth="1"/>
    <col min="12" max="12" width="8.81640625" customWidth="1"/>
  </cols>
  <sheetData>
    <row r="1" spans="1:12" ht="39" x14ac:dyDescent="0.25">
      <c r="A1" t="s">
        <v>1071</v>
      </c>
      <c r="B1" s="30" t="s">
        <v>1072</v>
      </c>
      <c r="C1" s="30" t="s">
        <v>1073</v>
      </c>
      <c r="D1" s="30" t="s">
        <v>1074</v>
      </c>
      <c r="E1" s="30" t="s">
        <v>1075</v>
      </c>
      <c r="F1" s="31" t="s">
        <v>1076</v>
      </c>
      <c r="G1" s="32" t="s">
        <v>1077</v>
      </c>
      <c r="H1" s="33" t="s">
        <v>1078</v>
      </c>
      <c r="I1" s="34" t="s">
        <v>1079</v>
      </c>
      <c r="K1" s="34" t="s">
        <v>1080</v>
      </c>
      <c r="L1" s="35" t="s">
        <v>1081</v>
      </c>
    </row>
    <row r="2" spans="1:12" x14ac:dyDescent="0.25">
      <c r="A2">
        <v>1</v>
      </c>
      <c r="B2" s="36">
        <v>3</v>
      </c>
      <c r="C2" s="37" t="s">
        <v>1082</v>
      </c>
      <c r="D2" s="36" t="s">
        <v>1083</v>
      </c>
      <c r="E2" s="37" t="s">
        <v>1084</v>
      </c>
      <c r="F2" s="38">
        <v>11</v>
      </c>
      <c r="G2" s="39">
        <v>20</v>
      </c>
      <c r="H2" s="40">
        <v>45</v>
      </c>
      <c r="I2" s="41">
        <v>12</v>
      </c>
      <c r="K2" s="41">
        <v>12</v>
      </c>
      <c r="L2" s="42">
        <f>(F2+G2+H2+I2+K2)*100/140</f>
        <v>71.428571428571431</v>
      </c>
    </row>
    <row r="3" spans="1:12" ht="14" x14ac:dyDescent="0.3">
      <c r="A3">
        <v>2</v>
      </c>
      <c r="B3" s="36">
        <v>3</v>
      </c>
      <c r="C3" s="37" t="s">
        <v>1085</v>
      </c>
      <c r="D3" s="36" t="s">
        <v>1083</v>
      </c>
      <c r="E3" s="37" t="s">
        <v>1084</v>
      </c>
      <c r="F3" s="38">
        <v>9</v>
      </c>
      <c r="G3" s="43">
        <v>22</v>
      </c>
      <c r="H3" s="40">
        <v>48</v>
      </c>
      <c r="I3" s="41">
        <v>13.5</v>
      </c>
      <c r="K3" s="41">
        <v>12</v>
      </c>
      <c r="L3" s="42">
        <f t="shared" ref="L3:L31" si="0">(F3+G3+H3+I3+K3)*100/140</f>
        <v>74.642857142857139</v>
      </c>
    </row>
    <row r="4" spans="1:12" ht="14" x14ac:dyDescent="0.3">
      <c r="A4">
        <v>3</v>
      </c>
      <c r="B4" s="36">
        <v>3</v>
      </c>
      <c r="C4" s="37" t="s">
        <v>1085</v>
      </c>
      <c r="D4" s="36" t="s">
        <v>1083</v>
      </c>
      <c r="E4" s="37" t="s">
        <v>1084</v>
      </c>
      <c r="F4" s="38">
        <v>12</v>
      </c>
      <c r="G4" s="43">
        <v>19</v>
      </c>
      <c r="H4" s="40">
        <v>38</v>
      </c>
      <c r="I4" s="41">
        <v>15</v>
      </c>
      <c r="K4" s="41">
        <v>11</v>
      </c>
      <c r="L4" s="42">
        <f t="shared" si="0"/>
        <v>67.857142857142861</v>
      </c>
    </row>
    <row r="5" spans="1:12" ht="14" x14ac:dyDescent="0.3">
      <c r="A5">
        <v>4</v>
      </c>
      <c r="B5" s="36">
        <v>3</v>
      </c>
      <c r="C5" s="37" t="s">
        <v>1085</v>
      </c>
      <c r="D5" s="36" t="s">
        <v>1083</v>
      </c>
      <c r="E5" s="37" t="s">
        <v>1084</v>
      </c>
      <c r="F5" s="38">
        <v>10</v>
      </c>
      <c r="G5" s="43">
        <v>20</v>
      </c>
      <c r="H5" s="40">
        <v>54</v>
      </c>
      <c r="I5" s="41">
        <v>15</v>
      </c>
      <c r="K5" s="41">
        <v>13</v>
      </c>
      <c r="L5" s="42">
        <f t="shared" si="0"/>
        <v>80</v>
      </c>
    </row>
    <row r="6" spans="1:12" ht="14" x14ac:dyDescent="0.3">
      <c r="A6">
        <v>5</v>
      </c>
      <c r="B6" s="36">
        <v>3</v>
      </c>
      <c r="C6" s="37" t="s">
        <v>1086</v>
      </c>
      <c r="D6" s="36" t="s">
        <v>1083</v>
      </c>
      <c r="E6" s="37" t="s">
        <v>1084</v>
      </c>
      <c r="F6" s="38">
        <v>13</v>
      </c>
      <c r="G6" s="43">
        <v>16</v>
      </c>
      <c r="H6" s="40">
        <v>54</v>
      </c>
      <c r="I6" s="41">
        <v>14.5</v>
      </c>
      <c r="K6" s="41">
        <v>12</v>
      </c>
      <c r="L6" s="42">
        <f t="shared" si="0"/>
        <v>78.214285714285708</v>
      </c>
    </row>
    <row r="7" spans="1:12" ht="14" x14ac:dyDescent="0.3">
      <c r="A7">
        <v>6</v>
      </c>
      <c r="B7" s="36">
        <v>3</v>
      </c>
      <c r="C7" s="37" t="s">
        <v>1085</v>
      </c>
      <c r="D7" s="36" t="s">
        <v>1083</v>
      </c>
      <c r="E7" s="37" t="s">
        <v>1084</v>
      </c>
      <c r="F7" s="38">
        <v>4</v>
      </c>
      <c r="G7" s="43">
        <v>18</v>
      </c>
      <c r="H7" s="40">
        <v>57</v>
      </c>
      <c r="I7" s="41">
        <v>15</v>
      </c>
      <c r="K7" s="41">
        <v>11</v>
      </c>
      <c r="L7" s="42">
        <f t="shared" si="0"/>
        <v>75</v>
      </c>
    </row>
    <row r="8" spans="1:12" ht="14" x14ac:dyDescent="0.3">
      <c r="A8">
        <v>7</v>
      </c>
      <c r="B8" s="36">
        <v>3</v>
      </c>
      <c r="C8" s="37" t="s">
        <v>1085</v>
      </c>
      <c r="D8" s="36" t="s">
        <v>1083</v>
      </c>
      <c r="E8" s="37" t="s">
        <v>1084</v>
      </c>
      <c r="F8" s="38">
        <v>12</v>
      </c>
      <c r="G8" s="43">
        <v>20</v>
      </c>
      <c r="H8" s="40">
        <v>52</v>
      </c>
      <c r="I8" s="41">
        <v>15</v>
      </c>
      <c r="K8" s="41">
        <v>12</v>
      </c>
      <c r="L8" s="42">
        <f t="shared" si="0"/>
        <v>79.285714285714292</v>
      </c>
    </row>
    <row r="9" spans="1:12" ht="14" x14ac:dyDescent="0.3">
      <c r="A9">
        <v>8</v>
      </c>
      <c r="B9" s="36">
        <v>3</v>
      </c>
      <c r="C9" s="37" t="s">
        <v>1086</v>
      </c>
      <c r="D9" s="36" t="s">
        <v>1083</v>
      </c>
      <c r="E9" s="37" t="s">
        <v>1084</v>
      </c>
      <c r="F9" s="38">
        <v>15</v>
      </c>
      <c r="G9" s="43">
        <v>16</v>
      </c>
      <c r="H9" s="40">
        <v>45</v>
      </c>
      <c r="I9" s="41">
        <v>14</v>
      </c>
      <c r="K9" s="41">
        <v>14</v>
      </c>
      <c r="L9" s="42">
        <f t="shared" si="0"/>
        <v>74.285714285714292</v>
      </c>
    </row>
    <row r="10" spans="1:12" ht="14" x14ac:dyDescent="0.3">
      <c r="A10">
        <v>9</v>
      </c>
      <c r="B10" s="36">
        <v>3</v>
      </c>
      <c r="C10" s="37" t="s">
        <v>1086</v>
      </c>
      <c r="D10" s="36" t="s">
        <v>1083</v>
      </c>
      <c r="E10" s="37" t="s">
        <v>1084</v>
      </c>
      <c r="F10" s="38">
        <v>12</v>
      </c>
      <c r="G10" s="43">
        <v>14</v>
      </c>
      <c r="H10" s="40">
        <v>55</v>
      </c>
      <c r="I10" s="41">
        <v>15</v>
      </c>
      <c r="K10" s="41">
        <v>14</v>
      </c>
      <c r="L10" s="42">
        <f t="shared" si="0"/>
        <v>78.571428571428569</v>
      </c>
    </row>
    <row r="11" spans="1:12" ht="14" x14ac:dyDescent="0.3">
      <c r="A11">
        <v>10</v>
      </c>
      <c r="B11" s="36">
        <v>3</v>
      </c>
      <c r="C11" s="37" t="s">
        <v>1086</v>
      </c>
      <c r="D11" s="36" t="s">
        <v>1083</v>
      </c>
      <c r="E11" s="37" t="s">
        <v>1084</v>
      </c>
      <c r="F11" s="38">
        <v>2</v>
      </c>
      <c r="G11" s="43">
        <v>22</v>
      </c>
      <c r="H11" s="40">
        <v>53</v>
      </c>
      <c r="I11" s="41">
        <v>14</v>
      </c>
      <c r="K11" s="41">
        <v>13</v>
      </c>
      <c r="L11" s="42">
        <f t="shared" si="0"/>
        <v>74.285714285714292</v>
      </c>
    </row>
    <row r="12" spans="1:12" ht="14" x14ac:dyDescent="0.3">
      <c r="A12">
        <v>11</v>
      </c>
      <c r="B12" s="36">
        <v>3</v>
      </c>
      <c r="C12" s="37" t="s">
        <v>1086</v>
      </c>
      <c r="D12" s="36" t="s">
        <v>1083</v>
      </c>
      <c r="E12" s="37" t="s">
        <v>1084</v>
      </c>
      <c r="F12" s="38">
        <v>9</v>
      </c>
      <c r="G12" s="43">
        <v>20</v>
      </c>
      <c r="H12" s="40">
        <v>43</v>
      </c>
      <c r="I12" s="41">
        <v>14</v>
      </c>
      <c r="K12" s="41">
        <v>11</v>
      </c>
      <c r="L12" s="42">
        <f t="shared" si="0"/>
        <v>69.285714285714292</v>
      </c>
    </row>
    <row r="13" spans="1:12" ht="14" x14ac:dyDescent="0.3">
      <c r="A13">
        <v>12</v>
      </c>
      <c r="B13" s="36">
        <v>3</v>
      </c>
      <c r="C13" s="37" t="s">
        <v>1082</v>
      </c>
      <c r="D13" s="36" t="s">
        <v>1083</v>
      </c>
      <c r="E13" s="37" t="s">
        <v>1084</v>
      </c>
      <c r="F13" s="38">
        <v>9</v>
      </c>
      <c r="G13" s="43">
        <v>15</v>
      </c>
      <c r="H13" s="40">
        <v>56</v>
      </c>
      <c r="I13" s="41">
        <v>15</v>
      </c>
      <c r="K13" s="41">
        <v>13</v>
      </c>
      <c r="L13" s="42">
        <f t="shared" si="0"/>
        <v>77.142857142857139</v>
      </c>
    </row>
    <row r="14" spans="1:12" ht="14" x14ac:dyDescent="0.3">
      <c r="A14">
        <v>13</v>
      </c>
      <c r="B14" s="36">
        <v>3</v>
      </c>
      <c r="C14" s="37" t="s">
        <v>1082</v>
      </c>
      <c r="D14" s="36" t="s">
        <v>1083</v>
      </c>
      <c r="E14" s="37" t="s">
        <v>1084</v>
      </c>
      <c r="F14" s="38">
        <v>11</v>
      </c>
      <c r="G14" s="43">
        <v>21</v>
      </c>
      <c r="H14" s="40">
        <v>48</v>
      </c>
      <c r="I14" s="41">
        <v>15</v>
      </c>
      <c r="K14" s="41">
        <v>11</v>
      </c>
      <c r="L14" s="42">
        <f t="shared" si="0"/>
        <v>75.714285714285708</v>
      </c>
    </row>
    <row r="15" spans="1:12" ht="14" x14ac:dyDescent="0.3">
      <c r="A15">
        <v>14</v>
      </c>
      <c r="B15" s="36">
        <v>3</v>
      </c>
      <c r="C15" s="37" t="s">
        <v>1086</v>
      </c>
      <c r="D15" s="36" t="s">
        <v>1087</v>
      </c>
      <c r="E15" s="37" t="s">
        <v>1084</v>
      </c>
      <c r="F15" s="38">
        <v>15</v>
      </c>
      <c r="G15" s="43">
        <v>16</v>
      </c>
      <c r="H15" s="40">
        <v>36</v>
      </c>
      <c r="I15" s="41">
        <v>15</v>
      </c>
      <c r="K15" s="41">
        <v>10</v>
      </c>
      <c r="L15" s="42">
        <f t="shared" si="0"/>
        <v>65.714285714285708</v>
      </c>
    </row>
    <row r="16" spans="1:12" ht="14" x14ac:dyDescent="0.3">
      <c r="A16">
        <v>15</v>
      </c>
      <c r="B16" s="36">
        <v>2</v>
      </c>
      <c r="C16" s="37" t="s">
        <v>1082</v>
      </c>
      <c r="D16" s="36" t="s">
        <v>1087</v>
      </c>
      <c r="E16" s="37" t="s">
        <v>1084</v>
      </c>
      <c r="F16" s="38">
        <v>9</v>
      </c>
      <c r="G16" s="43">
        <v>18</v>
      </c>
      <c r="H16" s="40">
        <v>48</v>
      </c>
      <c r="I16" s="41">
        <v>14</v>
      </c>
      <c r="K16" s="41">
        <v>12</v>
      </c>
      <c r="L16" s="42">
        <f t="shared" si="0"/>
        <v>72.142857142857139</v>
      </c>
    </row>
    <row r="17" spans="1:12" ht="14" x14ac:dyDescent="0.3">
      <c r="A17">
        <v>16</v>
      </c>
      <c r="B17" s="36">
        <v>3</v>
      </c>
      <c r="C17" s="37" t="s">
        <v>1085</v>
      </c>
      <c r="D17" s="36" t="s">
        <v>1087</v>
      </c>
      <c r="E17" s="37" t="s">
        <v>1084</v>
      </c>
      <c r="F17" s="38">
        <v>12</v>
      </c>
      <c r="G17" s="43">
        <v>19</v>
      </c>
      <c r="H17" s="40">
        <v>51</v>
      </c>
      <c r="I17" s="41">
        <v>14</v>
      </c>
      <c r="K17" s="41">
        <v>15</v>
      </c>
      <c r="L17" s="42">
        <f t="shared" si="0"/>
        <v>79.285714285714292</v>
      </c>
    </row>
    <row r="18" spans="1:12" ht="14" x14ac:dyDescent="0.3">
      <c r="A18">
        <v>17</v>
      </c>
      <c r="B18" s="36">
        <v>3</v>
      </c>
      <c r="C18" s="37" t="s">
        <v>1085</v>
      </c>
      <c r="D18" s="36" t="s">
        <v>1087</v>
      </c>
      <c r="E18" s="37" t="s">
        <v>1084</v>
      </c>
      <c r="F18" s="38">
        <v>15</v>
      </c>
      <c r="G18" s="43">
        <v>22</v>
      </c>
      <c r="H18" s="40">
        <v>48</v>
      </c>
      <c r="I18" s="41">
        <v>15</v>
      </c>
      <c r="K18" s="41">
        <v>15</v>
      </c>
      <c r="L18" s="42">
        <f t="shared" si="0"/>
        <v>82.142857142857139</v>
      </c>
    </row>
    <row r="19" spans="1:12" ht="14" x14ac:dyDescent="0.3">
      <c r="A19">
        <v>18</v>
      </c>
      <c r="B19" s="36">
        <v>2</v>
      </c>
      <c r="C19" s="37" t="s">
        <v>1085</v>
      </c>
      <c r="D19" s="36" t="s">
        <v>1087</v>
      </c>
      <c r="E19" s="37" t="s">
        <v>1084</v>
      </c>
      <c r="F19" s="38">
        <v>12</v>
      </c>
      <c r="G19" s="43">
        <v>23</v>
      </c>
      <c r="H19" s="40">
        <v>57</v>
      </c>
      <c r="I19" s="41">
        <v>15</v>
      </c>
      <c r="K19" s="41">
        <v>13</v>
      </c>
      <c r="L19" s="42">
        <f t="shared" si="0"/>
        <v>85.714285714285708</v>
      </c>
    </row>
    <row r="20" spans="1:12" ht="14" x14ac:dyDescent="0.3">
      <c r="A20">
        <v>19</v>
      </c>
      <c r="B20" s="36">
        <v>3</v>
      </c>
      <c r="C20" s="37" t="s">
        <v>1085</v>
      </c>
      <c r="D20" s="36" t="s">
        <v>1087</v>
      </c>
      <c r="E20" s="37" t="s">
        <v>1084</v>
      </c>
      <c r="F20" s="38">
        <v>12</v>
      </c>
      <c r="G20" s="43">
        <v>22</v>
      </c>
      <c r="H20" s="40">
        <v>51</v>
      </c>
      <c r="I20" s="41">
        <v>15</v>
      </c>
      <c r="K20" s="41">
        <v>12</v>
      </c>
      <c r="L20" s="42">
        <f t="shared" si="0"/>
        <v>80</v>
      </c>
    </row>
    <row r="21" spans="1:12" ht="14" x14ac:dyDescent="0.3">
      <c r="A21">
        <v>20</v>
      </c>
      <c r="B21" s="36">
        <v>3</v>
      </c>
      <c r="C21" s="37" t="s">
        <v>1085</v>
      </c>
      <c r="D21" s="36" t="s">
        <v>1087</v>
      </c>
      <c r="E21" s="37" t="s">
        <v>1084</v>
      </c>
      <c r="F21" s="38">
        <v>8</v>
      </c>
      <c r="G21" s="43">
        <v>21</v>
      </c>
      <c r="H21" s="40">
        <v>40</v>
      </c>
      <c r="I21" s="41">
        <v>11</v>
      </c>
      <c r="K21" s="41">
        <v>12</v>
      </c>
      <c r="L21" s="42">
        <f t="shared" si="0"/>
        <v>65.714285714285708</v>
      </c>
    </row>
    <row r="22" spans="1:12" ht="14" x14ac:dyDescent="0.3">
      <c r="A22">
        <v>21</v>
      </c>
      <c r="B22" s="36">
        <v>3</v>
      </c>
      <c r="C22" s="37" t="s">
        <v>1085</v>
      </c>
      <c r="D22" s="36" t="s">
        <v>1087</v>
      </c>
      <c r="E22" s="37" t="s">
        <v>1084</v>
      </c>
      <c r="F22" s="38">
        <v>6</v>
      </c>
      <c r="G22" s="43">
        <v>20</v>
      </c>
      <c r="H22" s="40">
        <v>44</v>
      </c>
      <c r="I22" s="41">
        <v>14</v>
      </c>
      <c r="K22" s="41">
        <v>12</v>
      </c>
      <c r="L22" s="42">
        <f t="shared" si="0"/>
        <v>68.571428571428569</v>
      </c>
    </row>
    <row r="23" spans="1:12" ht="14" x14ac:dyDescent="0.3">
      <c r="A23">
        <v>22</v>
      </c>
      <c r="B23" s="44">
        <v>2</v>
      </c>
      <c r="C23" s="45" t="s">
        <v>1085</v>
      </c>
      <c r="D23" s="44" t="s">
        <v>1087</v>
      </c>
      <c r="E23" s="45" t="s">
        <v>1084</v>
      </c>
      <c r="F23" s="46">
        <v>15</v>
      </c>
      <c r="G23" s="43">
        <v>17</v>
      </c>
      <c r="H23" s="40">
        <v>49</v>
      </c>
      <c r="I23" s="41">
        <v>14</v>
      </c>
      <c r="K23" s="41">
        <v>11</v>
      </c>
      <c r="L23" s="42">
        <f t="shared" si="0"/>
        <v>75.714285714285708</v>
      </c>
    </row>
    <row r="24" spans="1:12" ht="14" x14ac:dyDescent="0.3">
      <c r="A24">
        <v>23</v>
      </c>
      <c r="B24" s="44">
        <v>2</v>
      </c>
      <c r="C24" s="45" t="s">
        <v>1085</v>
      </c>
      <c r="D24" s="44" t="s">
        <v>1087</v>
      </c>
      <c r="E24" s="45" t="s">
        <v>1084</v>
      </c>
      <c r="F24" s="46">
        <v>10</v>
      </c>
      <c r="G24" s="43">
        <v>21</v>
      </c>
      <c r="H24" s="40">
        <v>52</v>
      </c>
      <c r="I24" s="41">
        <v>14</v>
      </c>
      <c r="K24" s="41">
        <v>13</v>
      </c>
      <c r="L24" s="42">
        <f t="shared" si="0"/>
        <v>78.571428571428569</v>
      </c>
    </row>
    <row r="25" spans="1:12" ht="14" x14ac:dyDescent="0.3">
      <c r="A25">
        <v>24</v>
      </c>
      <c r="B25" s="44">
        <v>3</v>
      </c>
      <c r="C25" s="45" t="s">
        <v>1088</v>
      </c>
      <c r="D25" s="44" t="s">
        <v>1087</v>
      </c>
      <c r="E25" s="45" t="s">
        <v>1089</v>
      </c>
      <c r="F25" s="46">
        <v>15</v>
      </c>
      <c r="G25" s="43">
        <v>22</v>
      </c>
      <c r="H25" s="40">
        <v>37</v>
      </c>
      <c r="I25" s="41">
        <v>15</v>
      </c>
      <c r="K25" s="41">
        <v>13</v>
      </c>
      <c r="L25" s="42">
        <f t="shared" si="0"/>
        <v>72.857142857142861</v>
      </c>
    </row>
    <row r="26" spans="1:12" ht="14" x14ac:dyDescent="0.3">
      <c r="A26">
        <v>25</v>
      </c>
      <c r="B26" s="44">
        <v>3</v>
      </c>
      <c r="C26" s="45" t="s">
        <v>1088</v>
      </c>
      <c r="D26" s="44" t="s">
        <v>1087</v>
      </c>
      <c r="E26" s="45" t="s">
        <v>1089</v>
      </c>
      <c r="F26" s="46">
        <v>12</v>
      </c>
      <c r="G26" s="43">
        <v>20</v>
      </c>
      <c r="H26" s="40">
        <v>56</v>
      </c>
      <c r="I26" s="41">
        <v>15</v>
      </c>
      <c r="K26" s="41">
        <v>15</v>
      </c>
      <c r="L26" s="42">
        <f t="shared" si="0"/>
        <v>84.285714285714292</v>
      </c>
    </row>
    <row r="27" spans="1:12" ht="14" x14ac:dyDescent="0.3">
      <c r="A27">
        <v>26</v>
      </c>
      <c r="B27" s="44">
        <v>3</v>
      </c>
      <c r="C27" s="45" t="s">
        <v>1088</v>
      </c>
      <c r="D27" s="44" t="s">
        <v>1087</v>
      </c>
      <c r="E27" s="45" t="s">
        <v>1089</v>
      </c>
      <c r="F27" s="46">
        <v>15</v>
      </c>
      <c r="G27" s="43">
        <v>23</v>
      </c>
      <c r="H27" s="40">
        <v>56</v>
      </c>
      <c r="I27" s="41">
        <v>15</v>
      </c>
      <c r="K27" s="41">
        <v>15</v>
      </c>
      <c r="L27" s="42">
        <f t="shared" si="0"/>
        <v>88.571428571428569</v>
      </c>
    </row>
    <row r="28" spans="1:12" ht="14" x14ac:dyDescent="0.3">
      <c r="A28">
        <v>27</v>
      </c>
      <c r="B28" s="44">
        <v>3</v>
      </c>
      <c r="C28" s="45" t="s">
        <v>1088</v>
      </c>
      <c r="D28" s="44" t="s">
        <v>1087</v>
      </c>
      <c r="E28" s="45" t="s">
        <v>1089</v>
      </c>
      <c r="F28" s="46">
        <v>15</v>
      </c>
      <c r="G28" s="43">
        <v>25</v>
      </c>
      <c r="H28" s="40">
        <v>41</v>
      </c>
      <c r="I28" s="41">
        <v>15</v>
      </c>
      <c r="K28" s="41">
        <v>11</v>
      </c>
      <c r="L28" s="42">
        <f t="shared" si="0"/>
        <v>76.428571428571431</v>
      </c>
    </row>
    <row r="29" spans="1:12" ht="14" x14ac:dyDescent="0.3">
      <c r="A29">
        <v>28</v>
      </c>
      <c r="B29" s="44">
        <v>3</v>
      </c>
      <c r="C29" s="45" t="s">
        <v>1088</v>
      </c>
      <c r="D29" s="44" t="s">
        <v>1087</v>
      </c>
      <c r="E29" s="45" t="s">
        <v>1089</v>
      </c>
      <c r="F29" s="46">
        <v>12</v>
      </c>
      <c r="G29" s="43">
        <v>23</v>
      </c>
      <c r="H29" s="40">
        <v>51</v>
      </c>
      <c r="I29" s="41">
        <v>14</v>
      </c>
      <c r="K29" s="41">
        <v>13</v>
      </c>
      <c r="L29" s="42">
        <f t="shared" si="0"/>
        <v>80.714285714285708</v>
      </c>
    </row>
    <row r="30" spans="1:12" ht="14" x14ac:dyDescent="0.3">
      <c r="A30">
        <v>29</v>
      </c>
      <c r="B30" s="44">
        <v>3</v>
      </c>
      <c r="C30" s="45" t="s">
        <v>1090</v>
      </c>
      <c r="D30" s="44" t="s">
        <v>1087</v>
      </c>
      <c r="E30" s="45" t="s">
        <v>1091</v>
      </c>
      <c r="F30" s="46">
        <v>6</v>
      </c>
      <c r="G30" s="43">
        <v>20</v>
      </c>
      <c r="H30" s="40">
        <v>54</v>
      </c>
      <c r="I30" s="41">
        <v>15</v>
      </c>
      <c r="K30" s="41">
        <v>11</v>
      </c>
      <c r="L30" s="42">
        <f t="shared" si="0"/>
        <v>75.714285714285708</v>
      </c>
    </row>
    <row r="31" spans="1:12" ht="14" x14ac:dyDescent="0.3">
      <c r="A31">
        <v>30</v>
      </c>
      <c r="B31" s="36">
        <v>3</v>
      </c>
      <c r="C31" s="37" t="s">
        <v>1086</v>
      </c>
      <c r="D31" s="36" t="s">
        <v>1087</v>
      </c>
      <c r="E31" s="37" t="s">
        <v>1084</v>
      </c>
      <c r="F31" s="38">
        <v>12</v>
      </c>
      <c r="G31" s="43">
        <v>23</v>
      </c>
      <c r="H31" s="40">
        <v>51</v>
      </c>
      <c r="I31" s="41">
        <v>15</v>
      </c>
      <c r="K31" s="41">
        <v>13</v>
      </c>
      <c r="L31" s="42">
        <f t="shared" si="0"/>
        <v>81.428571428571431</v>
      </c>
    </row>
    <row r="32" spans="1:12" ht="14" x14ac:dyDescent="0.3">
      <c r="B32" s="47"/>
      <c r="C32" s="47"/>
      <c r="D32" s="47"/>
      <c r="E32" s="47"/>
      <c r="F32" s="48">
        <f>AVERAGE(F2:F31)</f>
        <v>11</v>
      </c>
      <c r="G32" s="49">
        <f>AVERAGE(G2:G31)</f>
        <v>19.933333333333334</v>
      </c>
      <c r="H32" s="40">
        <f>AVERAGE(H2:H31)</f>
        <v>49</v>
      </c>
      <c r="I32" s="41">
        <f>AVERAGE(I2:I31)</f>
        <v>14.4</v>
      </c>
      <c r="K32" s="41">
        <f>AVERAGE(K2:K31)</f>
        <v>12.5</v>
      </c>
      <c r="L32" s="50"/>
    </row>
    <row r="33" spans="2:11" ht="14" x14ac:dyDescent="0.3">
      <c r="B33" s="47"/>
      <c r="C33" s="47"/>
      <c r="D33" s="47"/>
      <c r="E33" s="51" t="s">
        <v>15</v>
      </c>
      <c r="F33" s="52">
        <f>F32/15*100</f>
        <v>73.333333333333329</v>
      </c>
      <c r="G33" s="53">
        <f>100*G32/25</f>
        <v>79.733333333333334</v>
      </c>
      <c r="H33" s="54">
        <f>100*H32/60</f>
        <v>81.666666666666671</v>
      </c>
      <c r="I33" s="55">
        <f>100*I32/15</f>
        <v>96</v>
      </c>
      <c r="K33" s="55">
        <f>100*K32/15</f>
        <v>83.333333333333329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Cohort 2 - baseline</vt:lpstr>
      <vt:lpstr>Cohort 2 - endline</vt:lpstr>
      <vt:lpstr>Cohort 2 - 1 year later</vt:lpstr>
      <vt:lpstr>Cohort 2 - quizzes Ethiopia</vt:lpstr>
      <vt:lpstr>Cohort 2 - quizzes Uganda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T Trimmer</cp:lastModifiedBy>
  <dcterms:modified xsi:type="dcterms:W3CDTF">2026-02-04T16:15:16Z</dcterms:modified>
</cp:coreProperties>
</file>