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ttrimme\Dropbox (Personal)\Aquaya\WQ testing fellowship\Data for public share\"/>
    </mc:Choice>
  </mc:AlternateContent>
  <xr:revisionPtr revIDLastSave="0" documentId="13_ncr:1_{429B15B1-F312-4B6C-AA66-861F941C6813}" xr6:coauthVersionLast="47" xr6:coauthVersionMax="47" xr10:uidLastSave="{00000000-0000-0000-0000-000000000000}"/>
  <bookViews>
    <workbookView xWindow="-110" yWindow="-110" windowWidth="19420" windowHeight="11620" xr2:uid="{00000000-000D-0000-FFFF-FFFF00000000}"/>
  </bookViews>
  <sheets>
    <sheet name="Cohort 3 - baseline" sheetId="1" r:id="rId1"/>
    <sheet name="Cohort 3 - endline" sheetId="2" r:id="rId2"/>
    <sheet name="Cohort 3 - module evaluations" sheetId="3" r:id="rId3"/>
    <sheet name="Cohort 3 - quizzes Ethiopia" sheetId="4" r:id="rId4"/>
    <sheet name="Cohort 3 - quizzes Ugand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5" l="1"/>
  <c r="F33" i="5"/>
  <c r="E33" i="5"/>
  <c r="D33" i="5"/>
  <c r="K26" i="4"/>
  <c r="J26" i="4"/>
  <c r="H26" i="4"/>
  <c r="G26" i="4"/>
  <c r="F26" i="4"/>
  <c r="E26" i="4"/>
  <c r="J24" i="4"/>
  <c r="H24" i="4"/>
  <c r="G24" i="4"/>
  <c r="F24" i="4"/>
  <c r="E24" i="4"/>
  <c r="K22" i="4"/>
  <c r="K21" i="4"/>
  <c r="K20" i="4"/>
  <c r="K19" i="4"/>
  <c r="K18" i="4"/>
  <c r="K17" i="4"/>
  <c r="K16" i="4"/>
  <c r="K15" i="4"/>
  <c r="K14" i="4"/>
  <c r="K13" i="4"/>
  <c r="K12" i="4"/>
  <c r="K11" i="4"/>
  <c r="K10" i="4"/>
  <c r="K9" i="4"/>
  <c r="K8" i="4"/>
  <c r="K7" i="4"/>
  <c r="K6" i="4"/>
  <c r="K5" i="4"/>
  <c r="K4" i="4"/>
  <c r="K3" i="4"/>
  <c r="K2" i="4"/>
  <c r="K24" i="4" s="1"/>
</calcChain>
</file>

<file path=xl/sharedStrings.xml><?xml version="1.0" encoding="utf-8"?>
<sst xmlns="http://schemas.openxmlformats.org/spreadsheetml/2006/main" count="4480" uniqueCount="1372">
  <si>
    <t>Timestamp</t>
  </si>
  <si>
    <t>Why did you apply to the fellowship program? [select all that apply]</t>
  </si>
  <si>
    <t xml:space="preserve">What motivates you to engage in the water quality testing fellowship program?  [select all that apply] </t>
  </si>
  <si>
    <r>
      <t xml:space="preserve">How do you rate your general knowledge about </t>
    </r>
    <r>
      <rPr>
        <b/>
        <sz val="10"/>
        <color theme="1"/>
        <rFont val="Arial"/>
        <family val="2"/>
      </rPr>
      <t>water quality testing</t>
    </r>
    <r>
      <rPr>
        <sz val="10"/>
        <color theme="1"/>
        <rFont val="Arial"/>
        <family val="2"/>
      </rPr>
      <t>?</t>
    </r>
  </si>
  <si>
    <r>
      <t xml:space="preserve">How do you rate your knowledge or experience with </t>
    </r>
    <r>
      <rPr>
        <b/>
        <sz val="10"/>
        <color theme="1"/>
        <rFont val="Arial"/>
        <family val="2"/>
      </rPr>
      <t>laboratory work</t>
    </r>
    <r>
      <rPr>
        <sz val="10"/>
        <color theme="1"/>
        <rFont val="Arial"/>
        <family val="2"/>
      </rPr>
      <t>?</t>
    </r>
  </si>
  <si>
    <r>
      <t>How do you rate your knowledge or experience with</t>
    </r>
    <r>
      <rPr>
        <b/>
        <sz val="10"/>
        <color theme="1"/>
        <rFont val="Arial"/>
        <family val="2"/>
      </rPr>
      <t xml:space="preserve"> field work </t>
    </r>
    <r>
      <rPr>
        <sz val="10"/>
        <color theme="1"/>
        <rFont val="Arial"/>
        <family val="2"/>
      </rPr>
      <t xml:space="preserve">(sampling, field testing, conducting surveys)? </t>
    </r>
  </si>
  <si>
    <t>How interested are you in a career in water quality testing, drinking water, or WASH (water, sanitation, and hygiene)?</t>
  </si>
  <si>
    <t>What are your main expectations about the fellowship program?</t>
  </si>
  <si>
    <t>What university do you attend?</t>
  </si>
  <si>
    <t>What is your major?</t>
  </si>
  <si>
    <t>In what class year do you start the fellowship?</t>
  </si>
  <si>
    <t>What is your gender?</t>
  </si>
  <si>
    <t>What is your age?</t>
  </si>
  <si>
    <t xml:space="preserve">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 I also wanted to gain deeper knowledge about water because my first internship was more of irrigation </t>
  </si>
  <si>
    <t>Academic Interest, Global Impact, Sustainable Development Goals, Innovation and Technology, Community Empowerment, I love working with professionals i learn a lot from them</t>
  </si>
  <si>
    <t>Above Average</t>
  </si>
  <si>
    <t>Average</t>
  </si>
  <si>
    <t>Definitely Interested</t>
  </si>
  <si>
    <t xml:space="preserve">To gain skills in water quality testing and standards and that makes me diverse with both water And irrigation skills </t>
  </si>
  <si>
    <t>Makerere University</t>
  </si>
  <si>
    <t xml:space="preserve">BSc. in water and irrigation engineering </t>
  </si>
  <si>
    <t>Undergraduate 3rd Year</t>
  </si>
  <si>
    <t>Male</t>
  </si>
  <si>
    <t>I want to learn more to satisfy my academic curiosity, I want to gain stronger laboratory skills, I think it will make it easier to get a job when I graduate, I want to learn more about careers in this field</t>
  </si>
  <si>
    <t xml:space="preserve">Personal Experience, Academic Interest, Global Impact, Sustainable Development Goals, Innovation and Technology, Policy and Advocacy, Community Empowerment, My career goals aligns perfectly with what we are doing in this fellowship </t>
  </si>
  <si>
    <t xml:space="preserve">To gain experience in water testing quality </t>
  </si>
  <si>
    <t xml:space="preserve">Laboratory work which include analysis different parameters and ensuring safe water for our communities </t>
  </si>
  <si>
    <t>I want to learn more to satisfy my academic curiosity, I think it will be a way to differentiate myself from my peers in applying for jobs or graduate school</t>
  </si>
  <si>
    <t>Personal Experience, Academic Interest, Sustainable Development Goals, Community Empowerment</t>
  </si>
  <si>
    <t xml:space="preserve">Expertise in water quality assurance and report analysis </t>
  </si>
  <si>
    <t xml:space="preserve">Bsc. Water and Irrigation engineering </t>
  </si>
  <si>
    <t>Female</t>
  </si>
  <si>
    <t xml:space="preserve">I want to learn more about water quality testing. </t>
  </si>
  <si>
    <t>Academic Interest</t>
  </si>
  <si>
    <t>To learn more about water quality testing and also get to interact with my fellows.</t>
  </si>
  <si>
    <t>BACHELOR OF SCIENCE IN WATER AND IRRIGATION ENGINEERING.</t>
  </si>
  <si>
    <t>Undergraduate - 2nd Year</t>
  </si>
  <si>
    <t>Because i wanted to learn and improve my skills in water quality</t>
  </si>
  <si>
    <t>Community Empowerment</t>
  </si>
  <si>
    <t>Below Average</t>
  </si>
  <si>
    <t>I except to learn and again more knowledge on about water quality</t>
  </si>
  <si>
    <t>Bachelor of science in water and irrigation Engineering</t>
  </si>
  <si>
    <t xml:space="preserve">To learn more about water quality and testing </t>
  </si>
  <si>
    <t>Academic Interest, Sustainable Development Goals</t>
  </si>
  <si>
    <t xml:space="preserve">Attaining knowledge about water quality and testing 
Interaction with fellows </t>
  </si>
  <si>
    <t xml:space="preserve">Bachelor of science in water and irrigation engineering </t>
  </si>
  <si>
    <t>I want to learn more to satisfy my academic curiosity, I want to learn more about careers in this field</t>
  </si>
  <si>
    <t>Personal Experience, Academic Interest, Community Empowerment</t>
  </si>
  <si>
    <t xml:space="preserve">I expect to gain more understanding about water treatment processes and standards , improve my analytic skills in laboratory and also participate in community sampling </t>
  </si>
  <si>
    <t xml:space="preserve">Bachelor of science in Agricultural engineering </t>
  </si>
  <si>
    <t>Personal Experience, Academic Interest, Global Impact, Sustainable Development Goals, Innovation and Technology, Community Empowerment</t>
  </si>
  <si>
    <t xml:space="preserve">To gain the water quality testing,sampling and laboratory skills.
To improve on my personal skills like confidence and communication skills </t>
  </si>
  <si>
    <t>I think it will be a way to differentiate myself from my peers in applying for jobs or graduate school</t>
  </si>
  <si>
    <t>To gain more knowledge on water Treatment because am interested on biosystems engineering graduate level education</t>
  </si>
  <si>
    <t>Agricultural engineering</t>
  </si>
  <si>
    <t>I want to learn more to satisfy my academic curiosity, I want to gain stronger laboratory skills, I want to learn more about careers in this field</t>
  </si>
  <si>
    <t>Academic Interest, Global Impact, Sustainable Development Goals, Community Empowerment</t>
  </si>
  <si>
    <t xml:space="preserve">To acquire knowledge and skills so that l can carry on the sustainable development goals and empower my community </t>
  </si>
  <si>
    <t xml:space="preserve">Bachelor of science in Bio processing engineering </t>
  </si>
  <si>
    <t>I want to learn more about careers in this field</t>
  </si>
  <si>
    <t>Sustainable Development Goals</t>
  </si>
  <si>
    <t xml:space="preserve">I expect to gain skills and experience in water quality testing skills, presentation skills and academic benefits like wide knowledge on this course </t>
  </si>
  <si>
    <t xml:space="preserve">Civil engineering </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</si>
  <si>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t>
  </si>
  <si>
    <t>Academic Interest, Global Impact, Sustainable Development Goals, Innovation and Technology, Community Empowerment</t>
  </si>
  <si>
    <t>Gaining practical skills in water quality testing and become an expert.</t>
  </si>
  <si>
    <t>Bsc. Water and Irrigation Engineering</t>
  </si>
  <si>
    <t>Personal Experience, Academic Interest, Sustainable Development Goals</t>
  </si>
  <si>
    <t xml:space="preserve">I expect to become a better person who is present to the community l expect to learn how to commit to stuff and make sure l put in all my dedication and commitment 
For the greatest outcome </t>
  </si>
  <si>
    <t>Personal Experience, Sustainable Development Goals, Innovation and Technology, Community Empowerment</t>
  </si>
  <si>
    <t xml:space="preserve">To become a better person with better interpersonal skills, more punctuality, and better teamwork outside of water quality testing skills.  </t>
  </si>
  <si>
    <t xml:space="preserve">Bachelor of Science in Agricultural Engineering. </t>
  </si>
  <si>
    <t>I want to gain stronger laboratory skills</t>
  </si>
  <si>
    <t>Personal Experience</t>
  </si>
  <si>
    <t>Very Poor</t>
  </si>
  <si>
    <t>I expect to gain confidence in water testing  and also improve on my laboratory skills and be impactful to our nation with this skill having gained it</t>
  </si>
  <si>
    <t>Insustrial chemistry</t>
  </si>
  <si>
    <t>I want to learn more about careers in this field, I think it will be a way to differentiate myself from my peers in applying for jobs or graduate school</t>
  </si>
  <si>
    <t>Academic Interest, I believe there is alot more to learn</t>
  </si>
  <si>
    <t>Slightly Interested</t>
  </si>
  <si>
    <t>To have more knowledge about water quality testing and improved skills to help me adopt in the work field</t>
  </si>
  <si>
    <t xml:space="preserve">Bachelor of Scuence in Water and Irrigation engineering </t>
  </si>
  <si>
    <t>I want to learn more to satisfy my academic curiosity, I want to gain stronger laboratory skills, I want to learn more about careers in this field, I think it will be a way to differentiate myself from my peers in applying for jobs or graduate school</t>
  </si>
  <si>
    <t>I expect to gain practical experience in water sampling, analysis and testing methods, to familiarise with water quality standards, to get opportunities to connect with industry experts and potential mentors which can be beneficial for my future career steps.</t>
  </si>
  <si>
    <t xml:space="preserve">Agricultural Engineering </t>
  </si>
  <si>
    <t>I want to learn more to satisfy my academic curiosity</t>
  </si>
  <si>
    <t>I expect to gain more knowledge and skills from the fellowship program that could be of use both to me and the community at large</t>
  </si>
  <si>
    <t xml:space="preserve">Bachelor of science in agricultural engineering </t>
  </si>
  <si>
    <t>I want to gain stronger laboratory skills, I want to learn more about careers in this field, Improve on my communication skills such as reporting, presenting .</t>
  </si>
  <si>
    <t>I didn’t know there were careers in this area</t>
  </si>
  <si>
    <t xml:space="preserve">Improve my communication skills such as reporting presenting and how to enage with the community </t>
  </si>
  <si>
    <t xml:space="preserve">BSc in Water and irrigation Engineering </t>
  </si>
  <si>
    <t>Getting hands on experience and understanding more about the water quality.</t>
  </si>
  <si>
    <t xml:space="preserve">Bachelors of science in civil engineering </t>
  </si>
  <si>
    <t>I want to gain stronger laboratory skills, I want to learn more about careers in this field</t>
  </si>
  <si>
    <t>Sustainable Development Goals, Innovation and Technology, Community Empowerment</t>
  </si>
  <si>
    <t xml:space="preserve">1. Skill acquisition 
2. Determining safe water for human consumption 
Develop business ideas through this fellowship </t>
  </si>
  <si>
    <t xml:space="preserve">Skill acquisition </t>
  </si>
  <si>
    <t>I want to learn more to satisfy my academic curiosity, I want to gain stronger laboratory skills</t>
  </si>
  <si>
    <t>Personal Experience, Academic Interest, Sustainable Development Goals, Innovation and Technology, Community Empowerment</t>
  </si>
  <si>
    <t>Excellent</t>
  </si>
  <si>
    <t xml:space="preserve">I expect to know the labaratory skills in water testing </t>
  </si>
  <si>
    <t xml:space="preserve">Bsc in water and irrigation Engineering </t>
  </si>
  <si>
    <t xml:space="preserve">Gaining knowledge about quality water testing techniques </t>
  </si>
  <si>
    <t xml:space="preserve">Industrial chemistry </t>
  </si>
  <si>
    <t>Personal Experience, Innovation and Technology, Community Empowerment</t>
  </si>
  <si>
    <t>Gaining more laboratory knowledge,  and networking</t>
  </si>
  <si>
    <t xml:space="preserve">Bachelor of science in Civil engineering </t>
  </si>
  <si>
    <t>I want to learn more to satisfy my academic curiosity, I want to gain stronger laboratory skills, I think it will make it easier to get a job when I graduate</t>
  </si>
  <si>
    <t>To gain hands on experience in water quality testing techniques, to better my interpersonal skills and to expand my social capital.</t>
  </si>
  <si>
    <t xml:space="preserve">Civil Engineering </t>
  </si>
  <si>
    <t>Acquire skills like water quality testing that will help me to contribute to solving global problems including socioeconomic ones and also to improve on interpersonal skills and reporting skills etcetera.</t>
  </si>
  <si>
    <t>Civil engineering</t>
  </si>
  <si>
    <t xml:space="preserve">NETWORKING
PROFESSIONAL DEVELOPMENT
QUALITY CONTROL AND ASSURANCE
Enhance water testing capabilities.
Improve water quality monitoring and management.
Foster research and innovation in water testing technologies.
Develop expertise in water testing and analysis
Conduct water testing and analysis in various settings.
</t>
  </si>
  <si>
    <t>BSc water and irrigation engineering</t>
  </si>
  <si>
    <t>Innovation and Technology</t>
  </si>
  <si>
    <t xml:space="preserve">To improve on my CV in the job market </t>
  </si>
  <si>
    <t xml:space="preserve">Bsc. Water and Irrigation Engineering </t>
  </si>
  <si>
    <t>Academic Interest, Sustainable Development Goals, Innovation and Technology</t>
  </si>
  <si>
    <t>Deeply understand a water quality testing at an international level</t>
  </si>
  <si>
    <t xml:space="preserve">Bachelor of Science in Civil and environmental engineering </t>
  </si>
  <si>
    <t>To gain more knowledge in water testing and help communities that a struggling with water quality issues</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</si>
  <si>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 It is an opportunity to have a funded thesis project</t>
  </si>
  <si>
    <t>Knowing all the aspects that are related to drinking water quality i.e possible sources of contamination, how to determine safe drinking water and ways to safe guard drinking water from potential contaminants
Creating awareness in the community about  drinking water safety plans</t>
  </si>
  <si>
    <t>Bachelor of Science in Agricultural Engineering</t>
  </si>
  <si>
    <t>Personal Experience, Academic Interest</t>
  </si>
  <si>
    <t xml:space="preserve">Gain general knowledge about water quality testing 
</t>
  </si>
  <si>
    <t>Bahir Dar Institute of Technology</t>
  </si>
  <si>
    <t>Undergraduate 5th Year</t>
  </si>
  <si>
    <t xml:space="preserve">The fellowship present an opportunity acquire valuable skill and knowledge that will help to advance my career and personal growth </t>
  </si>
  <si>
    <t xml:space="preserve">Water resources engineer </t>
  </si>
  <si>
    <t>5 year</t>
  </si>
  <si>
    <t>I expect to gain practical experience on the field of drinking water quality testing</t>
  </si>
  <si>
    <t>Water Resources Engineering</t>
  </si>
  <si>
    <t>Undergraduate 5th year</t>
  </si>
  <si>
    <t>I want to learn more to satisfy my academic curiosity, I want to gain stronger laboratory skills, I think it will make it easier to get a job when I graduate, I want to learn more about careers in this field, I think it will be a way to differentiate myself from my peers in applying for jobs or graduate school, It is an opportunity to have a funded thesis project, I know friends or colleagues who are planning to participate and I think it will be fun</t>
  </si>
  <si>
    <t xml:space="preserve">Know about water safety </t>
  </si>
  <si>
    <t>Undergraduate 4th Year</t>
  </si>
  <si>
    <t>Global Impact</t>
  </si>
  <si>
    <t>To gain more practical skills about water quality</t>
  </si>
  <si>
    <t>Undergraduate 5th</t>
  </si>
  <si>
    <t>Personal Experience, Academic Interest, Global Impact, Sustainable Development Goals, Innovation and Technology, Policy and Advocacy, Community Empowerment</t>
  </si>
  <si>
    <t>I expect to get practical experience about water quality test that are essential for future career. and also, I will get friends who are in other batch and other disciplines.</t>
  </si>
  <si>
    <t>Civil Engineering</t>
  </si>
  <si>
    <t>I expect to make significant contributions to their field of study, advance knowledge, and potentially lead to impactful solutions.</t>
  </si>
  <si>
    <t xml:space="preserve">Water Resource Engineering </t>
  </si>
  <si>
    <t xml:space="preserve">I want to gain laboratory skill </t>
  </si>
  <si>
    <t>civil engineering</t>
  </si>
  <si>
    <t>It is an opportunity to have a funded thesis project</t>
  </si>
  <si>
    <t>To know different experiment about water quality</t>
  </si>
  <si>
    <t xml:space="preserve">Civil enginnering </t>
  </si>
  <si>
    <t>I want to gain stronger laboratory skills, I think it will make it easier to get a job when I graduate, I want to learn more about careers in this field, It is an opportunity to have a funded thesis project</t>
  </si>
  <si>
    <t>Academic Interest, Community Empowerment</t>
  </si>
  <si>
    <t>I want to know water quality treatment method</t>
  </si>
  <si>
    <t>5th year</t>
  </si>
  <si>
    <t>I want to gain stronger laboratory skills, I want to learn more about careers in this field, It is an opportunity to have a funded thesis project</t>
  </si>
  <si>
    <t>Global Impact, Sustainable Development Goals, Community Empowerment</t>
  </si>
  <si>
    <t xml:space="preserve">Good knowledge interms of water quality testing and excellence in lab works respect to this field </t>
  </si>
  <si>
    <t>5Th year</t>
  </si>
  <si>
    <t xml:space="preserve">I want to gain stronger laboratory skills, I want to learn more about careers in this field, I think it will be a way to differentiate myself from my peers in applying for jobs or graduate school, </t>
  </si>
  <si>
    <t>This may improve my laboratory sills.</t>
  </si>
  <si>
    <t>Policy and Advocacy</t>
  </si>
  <si>
    <t xml:space="preserve">Enhanc my labratory and filed experiance and communication ability </t>
  </si>
  <si>
    <t>I expect to get practical lab program knowledge</t>
  </si>
  <si>
    <t>I want to gain stronger laboratory skills, I think it will make it easier to get a job when I graduate</t>
  </si>
  <si>
    <t>Personal Experience, Academic Interest, Policy and Advocacy</t>
  </si>
  <si>
    <t xml:space="preserve">Enhanced skills related to water quality testing </t>
  </si>
  <si>
    <t xml:space="preserve">Water Resources Engineering </t>
  </si>
  <si>
    <t>Undergraduate- 5th Year</t>
  </si>
  <si>
    <t>I expect I will get more knowledge on drinking water quality test on lab and 
 fields.</t>
  </si>
  <si>
    <t xml:space="preserve">Water resources and irrigation engineering </t>
  </si>
  <si>
    <t>Please select the types of topics or training activities you participated in as part of the fellowship program (select all that apply)</t>
  </si>
  <si>
    <t>Which of the fellowship activities or training topics were most beneficial to you?</t>
  </si>
  <si>
    <t>What types of additional training or activities do you wish were included?</t>
  </si>
  <si>
    <t xml:space="preserve">Did you participate in a field data collection effort? </t>
  </si>
  <si>
    <t>Please indicate where you agree or disagree with the following statement: "The field data collection activity was a positive educational experience"</t>
  </si>
  <si>
    <t>What are the main reasons for the rating in the above question?</t>
  </si>
  <si>
    <t>State one or two specific aspects of the field data collection activity that you wish could be done differently or improved.</t>
  </si>
  <si>
    <t xml:space="preserve">Did you work on an academic thesis project related to this work?  </t>
  </si>
  <si>
    <t>If yes, please briefly describe your thesis project (one or two sentences)</t>
  </si>
  <si>
    <r>
      <t xml:space="preserve">How would you rate your general knowledge about </t>
    </r>
    <r>
      <rPr>
        <b/>
        <sz val="10"/>
        <color theme="1"/>
        <rFont val="Arial"/>
      </rPr>
      <t>water quality testing</t>
    </r>
    <r>
      <rPr>
        <sz val="10"/>
        <color theme="1"/>
        <rFont val="Arial"/>
      </rPr>
      <t xml:space="preserve"> at the completion of the fellowship?</t>
    </r>
  </si>
  <si>
    <r>
      <t>How would you rate your knowledge or experience with</t>
    </r>
    <r>
      <rPr>
        <b/>
        <sz val="10"/>
        <color theme="1"/>
        <rFont val="Arial"/>
      </rPr>
      <t xml:space="preserve"> laboratory work</t>
    </r>
    <r>
      <rPr>
        <sz val="10"/>
        <color theme="1"/>
        <rFont val="Arial"/>
      </rPr>
      <t xml:space="preserve">  at the completion of the fellowship?</t>
    </r>
  </si>
  <si>
    <r>
      <t xml:space="preserve">How do you rate your knowledge or experience with </t>
    </r>
    <r>
      <rPr>
        <b/>
        <sz val="10"/>
        <color theme="1"/>
        <rFont val="Arial"/>
      </rPr>
      <t>field work</t>
    </r>
    <r>
      <rPr>
        <sz val="10"/>
        <color theme="1"/>
        <rFont val="Arial"/>
      </rPr>
      <t xml:space="preserve"> (sampling, field testing, conducting surveys) at the completion of the fellowship?</t>
    </r>
  </si>
  <si>
    <r>
      <t xml:space="preserve">After completing this fellowship program, would you say your </t>
    </r>
    <r>
      <rPr>
        <b/>
        <sz val="10"/>
        <color theme="1"/>
        <rFont val="Arial"/>
      </rPr>
      <t>perceptions</t>
    </r>
    <r>
      <rPr>
        <sz val="10"/>
        <color theme="1"/>
        <rFont val="Arial"/>
      </rPr>
      <t xml:space="preserve"> about local water quality issues and  challenges </t>
    </r>
    <r>
      <rPr>
        <b/>
        <sz val="10"/>
        <color theme="1"/>
        <rFont val="Arial"/>
      </rPr>
      <t>have changed</t>
    </r>
    <r>
      <rPr>
        <sz val="10"/>
        <color theme="1"/>
        <rFont val="Arial"/>
      </rPr>
      <t>?</t>
    </r>
  </si>
  <si>
    <t>Please explain the changes in your perceptions about local water quality issues and challenges (if none, leave blank).</t>
  </si>
  <si>
    <t>After completing the fellowship program, how interested are you in a career in water quality testing, drinking water, or WASH (water, sanitation, and hygiene)?</t>
  </si>
  <si>
    <t>Were your expectations of the fellowship program met?</t>
  </si>
  <si>
    <t>How do you think this fellowship program might help your career in the future? [select all that apply]</t>
  </si>
  <si>
    <t>State one or two specific aspects of the fellowship program that you wish could be maintained</t>
  </si>
  <si>
    <t>State one or two specific aspects of the fellowship program that you wish could be done differently or improved</t>
  </si>
  <si>
    <t>On a scale of 1 to 10, (where 1 means DON'T RECOMMEND) to 10 (where 10 means STRONGLY RECOMMEND), how likely are you to recommend the fellowship program to a classmate?</t>
  </si>
  <si>
    <t>What is your major / course of study?</t>
  </si>
  <si>
    <t>In what class year did you start the fellowship?</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</si>
  <si>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</si>
  <si>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 xml:space="preserve">Water quality parameters and why they are important </t>
  </si>
  <si>
    <t>Idk</t>
  </si>
  <si>
    <t>Yes</t>
  </si>
  <si>
    <t>Strongly agree</t>
  </si>
  <si>
    <t>I get more info about that</t>
  </si>
  <si>
    <t>No</t>
  </si>
  <si>
    <t>Expectations were Exceeded</t>
  </si>
  <si>
    <t xml:space="preserve">   …</t>
  </si>
  <si>
    <t>It gave me practical skills that I can use in a future job, It gave me a competitive advantage, which will increase my job opportunity / employability</t>
  </si>
  <si>
    <t>.</t>
  </si>
  <si>
    <t>..</t>
  </si>
  <si>
    <t xml:space="preserve">Because i got more knowledge about it </t>
  </si>
  <si>
    <t>5th yr</t>
  </si>
  <si>
    <t xml:space="preserve">All the above selected were beneficial </t>
  </si>
  <si>
    <t>Can not think any missing training related to this program</t>
  </si>
  <si>
    <t xml:space="preserve">I strongly believe that its a positive educational experience </t>
  </si>
  <si>
    <t>Expectations were Far Exceeded</t>
  </si>
  <si>
    <t xml:space="preserve">It's actually beyond my expectation in every aspect. </t>
  </si>
  <si>
    <t>It made me aware of other possible career paths, It gave me knowledge about research methods to help in future studies, It gave me a competitive advantage, which will increase my job opportunity / employability</t>
  </si>
  <si>
    <t xml:space="preserve">Field and laboratory activities </t>
  </si>
  <si>
    <t>Nothing comes to my mind</t>
  </si>
  <si>
    <t>Based on it's usefulness</t>
  </si>
  <si>
    <t>Training on water quality parameters and how to do physico-chemical tests, quality assurance, and especially survey and data analysis were most beneficial to me</t>
  </si>
  <si>
    <t>I believe the training was very good and I don’t think any additional training or activities are needed.</t>
  </si>
  <si>
    <t>We gained practical experience in collecting data from our community and observed the water quality conditions which are really concerning.</t>
  </si>
  <si>
    <t>I had no prior experience so it would have been better to have time to read and prepare in detail about what questions to ask before the field data collection</t>
  </si>
  <si>
    <t>Yes, my thesis project involved designing a water supply system for a small town to improve water quality and accessibility</t>
  </si>
  <si>
    <t>Even though I knew there were water quality issues, I didn’t realize the severity and extent of the problem until the fellowship.</t>
  </si>
  <si>
    <t>The fellowship was a really great experience from our instructors to the modules and the way the program was delivered to us</t>
  </si>
  <si>
    <t>It made me interested in graduate school or further study, It gave me knowledge about research methods to help in future studies, It gave me practical skills that I can use in a future job, It gave me more confidence in my technical skills, It gave me a competitive advantage, which will increase my job opportunity / employability</t>
  </si>
  <si>
    <t>Overall it was a really good program, but it could be even better if it were conducted all at once instead of running parallel with classes.</t>
  </si>
  <si>
    <t>One aspect I wish could be improved is the data collection process, as it was my first time but overall, it was a good experience.</t>
  </si>
  <si>
    <t>I highly recommend this fellowship as it is very eye-opening and has a significant impact on both the community and the WASH sector</t>
  </si>
  <si>
    <t xml:space="preserve">All activities </t>
  </si>
  <si>
    <t xml:space="preserve">Maybe I wish I could learn another software with R program </t>
  </si>
  <si>
    <t xml:space="preserve">It's practice for what I learned in theory </t>
  </si>
  <si>
    <t xml:space="preserve">Nothing </t>
  </si>
  <si>
    <t>I'm worked on Bacteriological Quality of Household Drinking Water in Bahir Dar City</t>
  </si>
  <si>
    <t>Met Expectations</t>
  </si>
  <si>
    <t xml:space="preserve">The fellowship program met my expectation. </t>
  </si>
  <si>
    <t>It made me interested in graduate school or further study,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</si>
  <si>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 wish could be maintained is the interactive training sessions.</t>
  </si>
  <si>
    <t>I have gained significant benefits from participating in the fellowship program.</t>
  </si>
  <si>
    <t>Learning about household water quality</t>
  </si>
  <si>
    <t>None</t>
  </si>
  <si>
    <t>B/c the training  was beneficial for the field of water treatment , supply and waste management and also as civil engineering we are the part of this.</t>
  </si>
  <si>
    <t xml:space="preserve">Permission of the owner
Sampl collect 
Collect blank sample
</t>
  </si>
  <si>
    <t xml:space="preserve">Before fellowship  I thought If the water safe at the time sampling , safe forever .  But that result shows in that time only </t>
  </si>
  <si>
    <t>Because my expectation was very low</t>
  </si>
  <si>
    <t>I don’t think it will help me at all, 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</si>
  <si>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 xml:space="preserve">Field experience 
Lab experience 
Theoretical knowledge </t>
  </si>
  <si>
    <t>B/c it is important for academic and future career</t>
  </si>
  <si>
    <t>Training on different types water quality parameters and why they are important</t>
  </si>
  <si>
    <t>Field sample collection and microbial testing were most beneficial. They provided hands-on skills to assess real-world water safety, which I can apply in community health projects.</t>
  </si>
  <si>
    <t>Advanced data analysis training (e.g., using R or GIS for spatial water quality mapping) and workshops on interpreting results for policy advocacy.</t>
  </si>
  <si>
    <t>Strongly disagree</t>
  </si>
  <si>
    <t>It combined theoretical knowledge with practical application. Working directly with communities highlighted the human impact of water contamination, making the learning process impactful and memorable.</t>
  </si>
  <si>
    <t>More time for community engagement to understand local context</t>
  </si>
  <si>
    <t>Assessment Of Physicochemical and Bacteriological Quality of Drinking Water in Healthcare  Facilities inthe BahirDar, Amhara Region, Ethiopia</t>
  </si>
  <si>
    <t xml:space="preserve">Hands on parameters testing and filtration labs clarified real world contamination pathway. </t>
  </si>
  <si>
    <t>It made me interested in graduate school or further study, It gave me knowledge about research methods to help in future studies, It gave me more confidence in my technical skills, It allowed me to network with other students and create new relationships, It gave me a competitive advantage, which will increase my job opportunity / employability</t>
  </si>
  <si>
    <t>Field to lab sample work flow</t>
  </si>
  <si>
    <t>Institutional and household case studies</t>
  </si>
  <si>
    <t>This creates more awareness among students about how to control water quality, and those students can then easily spread this information to their communities.</t>
  </si>
  <si>
    <t>Learning how to conduct surveys in communities</t>
  </si>
  <si>
    <t>Learn how to conduct microbial test</t>
  </si>
  <si>
    <t>All surface water treatment activities starting from screening, aeration, plain sedimentation</t>
  </si>
  <si>
    <t>It helps for future training</t>
  </si>
  <si>
    <t>I think it is better to continue as it is</t>
  </si>
  <si>
    <t>For improvement for future trainers</t>
  </si>
  <si>
    <t>Learning process and laboratory practice</t>
  </si>
  <si>
    <t>Continue as it is</t>
  </si>
  <si>
    <t>For future trainers</t>
  </si>
  <si>
    <t>Undergraduate 5 th year</t>
  </si>
  <si>
    <t>none</t>
  </si>
  <si>
    <t xml:space="preserve">Engaging with different communities </t>
  </si>
  <si>
    <t>no</t>
  </si>
  <si>
    <t>wrong perceptions about drinking water storage and challenges about communities giving accurate information</t>
  </si>
  <si>
    <t xml:space="preserve">methods of delivery were prefect </t>
  </si>
  <si>
    <t>It made me aware of other possible career paths, It gave me practical skills that I can use in a future job, It allowed me to network with other students and create new relationships, It gave me a competitive advantage, which will increase my job opportunity / employability</t>
  </si>
  <si>
    <t>community engagement and solving real world problems practically</t>
  </si>
  <si>
    <t>very important program for our health and the communities we live in</t>
  </si>
  <si>
    <t>Ug 5th year</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</si>
  <si>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t>
  </si>
  <si>
    <t xml:space="preserve">All </t>
  </si>
  <si>
    <t xml:space="preserve">Let students to do the project during their training session </t>
  </si>
  <si>
    <t xml:space="preserve">Because there is some unexpected challenges during field work, then it will help us to face and experience the real situations in community </t>
  </si>
  <si>
    <t xml:space="preserve">I had expectation about this fellowship </t>
  </si>
  <si>
    <t>It made me interested in graduate school or further study, It made me aware of other possible career paths, It gave me practical skills that I can use in a future job, It gave me more confidence in my technical skills, It allowed me to network with other students and create new relationships</t>
  </si>
  <si>
    <t xml:space="preserve">It was good for me at all </t>
  </si>
  <si>
    <t>Enough good</t>
  </si>
  <si>
    <t xml:space="preserve">I want this opportunity for all students </t>
  </si>
  <si>
    <t xml:space="preserve">All are benefit </t>
  </si>
  <si>
    <t xml:space="preserve">I have not additional training that I wish to include more focusing on above are may be enough </t>
  </si>
  <si>
    <t xml:space="preserve">Main reasons for the rating:
Hands-on Learning: The field data collection provided a practical understanding of theoretical concepts, enhancing comprehension beyond classroom instruction.
Skill Development: It helped build essential technical skills such as equipment handling, observation, sampling, and data recording.
Real-world Exposure: Being in the field showed how hydrological and environmental systems function in real settings, which is crucial for water resources engineers.
Team Collaboration: It encouraged teamwork and communication, as fieldwork often requires coordinated efforts among group members.
Problem-Solving Practice: Encountering unexpected field conditions taught adaptability and improved decision-making skill
</t>
  </si>
  <si>
    <t>Better Equipment Preparation and Availability: Some tools were either insufficient in number or not functioning properly, which delayed the data collection process. Ensuring all equipment is available, calibrated, and in good working condition beforehand would improve efficiency.
More Pre-Field Briefing and Training: A clearer explanation of the objectives, procedures, and safety measures before going to the field would help students feel more prepared and confident during the activity.</t>
  </si>
  <si>
    <t>"My thesis focuses on the development and efficiency measurement of a household water treatment system tailored for rural communities, aiming to improve access to safe drinking water."</t>
  </si>
  <si>
    <t xml:space="preserve">This program are help in future career and to solve water quality issues </t>
  </si>
  <si>
    <t>It made me interested in graduate school or further study,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</si>
  <si>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 wish the practical field exposure and hands-on training sessions could be maintained, as they provided valuable real-world experience. Additionally, the mentorship and guidance from experts were very helpful and should continue to be part of the program."</t>
  </si>
  <si>
    <t>"I wish the fellowship program included more structured feedback sessions after field activities to help us learn from our experiences. Also, increasing access to laboratory or testing facilities during the project phase would greatly enhance the quality of research and practical outcomes."</t>
  </si>
  <si>
    <t>The fellowship program provided valuable practical experience that complemented academic knowledge.
It offered opportunities to work on real-world water treatment challenges, especially in rural contexts.
Support from mentors and access to resources enhanced my learning and research outcomes.
Networking with peers and professionals added great value to my academic and career development.</t>
  </si>
  <si>
    <t xml:space="preserve">Water resources engineering </t>
  </si>
  <si>
    <t xml:space="preserve">5 year </t>
  </si>
  <si>
    <t>How to analyze data using R</t>
  </si>
  <si>
    <t xml:space="preserve">All activities are good but the time frame is very short, I recommend increase a time frame. </t>
  </si>
  <si>
    <t xml:space="preserve"> Field data collection was helpfully to understand our community condition </t>
  </si>
  <si>
    <t>Increase number of communities to be collecte data</t>
  </si>
  <si>
    <t xml:space="preserve">Our expectations and fellowship program was equally /balanced </t>
  </si>
  <si>
    <t xml:space="preserve">Communication was so good </t>
  </si>
  <si>
    <t xml:space="preserve">Because I got a good experiences about water quality through this fellowship so in my opinion our friends get this training and help our community together a problem whichrelated to water quality issues. </t>
  </si>
  <si>
    <t>Training on how drinking water quality affects people’s health</t>
  </si>
  <si>
    <t>Experimental work</t>
  </si>
  <si>
    <t>Nop</t>
  </si>
  <si>
    <t xml:space="preserve">Good experience </t>
  </si>
  <si>
    <t>Don't know</t>
  </si>
  <si>
    <t xml:space="preserve">Experience </t>
  </si>
  <si>
    <t>It made me aware of other possible career paths</t>
  </si>
  <si>
    <t xml:space="preserve">R programing </t>
  </si>
  <si>
    <t>Good</t>
  </si>
  <si>
    <t>Civil</t>
  </si>
  <si>
    <t xml:space="preserve">Learning how to analyze data using R program </t>
  </si>
  <si>
    <t>I am satisfied with all of the modules.</t>
  </si>
  <si>
    <t>Experience in team work and social contacts</t>
  </si>
  <si>
    <t>Everything was good.</t>
  </si>
  <si>
    <t>It was another project.</t>
  </si>
  <si>
    <t>I got the knowledge that a good quality water doesn't mean quality in turbidity but quality in different aspects.</t>
  </si>
  <si>
    <t>Satisfied in laboratory and field works</t>
  </si>
  <si>
    <t>It made me interested in graduate school or further study</t>
  </si>
  <si>
    <t xml:space="preserve">Laboratory works and presentation by fellows </t>
  </si>
  <si>
    <t xml:space="preserve">Extremely satisfied </t>
  </si>
  <si>
    <t>BSc in Civil Engineering</t>
  </si>
  <si>
    <t>5th Year</t>
  </si>
  <si>
    <t>all training topics that we given</t>
  </si>
  <si>
    <t xml:space="preserve">I think it is enough, it must be practically done </t>
  </si>
  <si>
    <t xml:space="preserve">even if there were any challenges ,it was easy to understand </t>
  </si>
  <si>
    <t>it was very nice</t>
  </si>
  <si>
    <t xml:space="preserve">B/C the training was mor practically practiced </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</si>
  <si>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</si>
  <si>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it is enough to me</t>
  </si>
  <si>
    <t>all things regarding to training was very nice</t>
  </si>
  <si>
    <t>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t>
  </si>
  <si>
    <t xml:space="preserve">Water quality analysis </t>
  </si>
  <si>
    <t xml:space="preserve">Water supply design </t>
  </si>
  <si>
    <t xml:space="preserve">To analyze the experience of the fellows on water quality assessment </t>
  </si>
  <si>
    <t xml:space="preserve">If samples are collected from all facilities, it improves the accuracy of the results </t>
  </si>
  <si>
    <t xml:space="preserve">Water quality assessment on healthcare facilities </t>
  </si>
  <si>
    <t xml:space="preserve">My expectations about the water quality in healthcare facilities in bahir dar </t>
  </si>
  <si>
    <t>To check the fellowship on water quality achieve it's goals</t>
  </si>
  <si>
    <t>It made me interested in graduate school or further study, It gave me practical skills that I can use in a future job, It gave me more confidence in my technical skills</t>
  </si>
  <si>
    <t xml:space="preserve">1. Laboratory analysis </t>
  </si>
  <si>
    <t>To check reaction of fellows after the fellowship program by aquaya</t>
  </si>
  <si>
    <t xml:space="preserve">Water resource engineering </t>
  </si>
  <si>
    <t xml:space="preserve">5th year undergraduate </t>
  </si>
  <si>
    <t xml:space="preserve">Sampling technics </t>
  </si>
  <si>
    <t xml:space="preserve">Awareness for societies </t>
  </si>
  <si>
    <t xml:space="preserve">Because it help to know how to collect data and way of data collection. That's good education experience </t>
  </si>
  <si>
    <t>Better Coordination and Communication Among Field Teams</t>
  </si>
  <si>
    <t>I gained a deeper understanding of the underlying causes—such as infrastructure limitations, contamination sources, and community engagement barriers—that I previously underestimated.</t>
  </si>
  <si>
    <t>The fellowship provided a valuable balance of theoretical knowledge and practical field experience.</t>
  </si>
  <si>
    <t>It gave me practical skills that I can use in a future job</t>
  </si>
  <si>
    <t>Hands-on Field Experience</t>
  </si>
  <si>
    <t xml:space="preserve">Noting </t>
  </si>
  <si>
    <t>The fellowship program provided an excellent opportunity to apply academic knowledge in a real-world setting, particularly in the WASH sector.</t>
  </si>
  <si>
    <t>undergraduate -5th year(GC)</t>
  </si>
  <si>
    <t>Learning how to analyze data using R (or other software)</t>
  </si>
  <si>
    <t>To protect puplic health</t>
  </si>
  <si>
    <t>Because of I am acivil engineering student and the project work around civil engineering works like design of biuldings and roads</t>
  </si>
  <si>
    <t>Iam arural students then water can be treated by available materials like by using moringa and by sedimentation process and water drinks by boiling process and water treated by using sun light</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</si>
  <si>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</si>
  <si>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 xml:space="preserve"> To communicate with other persons</t>
  </si>
  <si>
    <t>To protect the health</t>
  </si>
  <si>
    <t xml:space="preserve">Laboratory </t>
  </si>
  <si>
    <t xml:space="preserve">Visit the city water reservoir </t>
  </si>
  <si>
    <t>Agree</t>
  </si>
  <si>
    <t>Because it teaches us many things</t>
  </si>
  <si>
    <t>People’s interested get into their house</t>
  </si>
  <si>
    <t xml:space="preserve">Because it’s to good for us learn about water quality </t>
  </si>
  <si>
    <t>It made me aware of other possible career paths, It gave me knowledge about research methods to help in future studies, It gave me practical skills that I can use in a future job, It allowed me to network with other students and create new relationships</t>
  </si>
  <si>
    <t xml:space="preserve">The quality of education </t>
  </si>
  <si>
    <t xml:space="preserve">Learning how to test phsico-Chemical and Bacteriological Parameters </t>
  </si>
  <si>
    <t xml:space="preserve">Training related to design of water supply systems </t>
  </si>
  <si>
    <t>Made learning more engaging by connecting theory to real-life situations.</t>
  </si>
  <si>
    <t>Improve time management and planning.</t>
  </si>
  <si>
    <t xml:space="preserve">My thesis focuses on assessing the quality of drinking water in educational institutions across Bahir Dar City, Ethiopia, by analyzing key physical, chemical, and microbiological parameters. </t>
  </si>
  <si>
    <t>After completing the fellowship, I gained a deeper understanding of the severity and complexity of water quality issues in Bahir dar city. I realized that many institutions lack proper water treatment and monitoring systems, and that microbial contamination is more common than I initially thought. I also became more aware of the need for regular testing and the role of proper hygiene and sanitation practices in ensuring safe drinking water.</t>
  </si>
  <si>
    <t xml:space="preserve">The fellowship program provided valuable practical experience in water quality assessment, which matched my initial expectations. </t>
  </si>
  <si>
    <t xml:space="preserve">The mentorship component and the collaborative projects are invaluable. </t>
  </si>
  <si>
    <t>Clearer guidelines for project deliverables would help streamline expectations.</t>
  </si>
  <si>
    <t>The program offers great networking and skill-building opportunities, but slight improvements in scheduling flexibility and mentorship structure could make it even stronger.</t>
  </si>
  <si>
    <t xml:space="preserve">Water resources Engineering </t>
  </si>
  <si>
    <t xml:space="preserve">R program </t>
  </si>
  <si>
    <t>It's enough for us</t>
  </si>
  <si>
    <t>Because it's used to know if the theoretical part is applicable or not</t>
  </si>
  <si>
    <t>Households survey</t>
  </si>
  <si>
    <t>Water quality is one of the main thing for our life</t>
  </si>
  <si>
    <t xml:space="preserve">Because of its applicability </t>
  </si>
  <si>
    <t>None of them</t>
  </si>
  <si>
    <t xml:space="preserve">It's enough </t>
  </si>
  <si>
    <t>Because it's important fof our daily life</t>
  </si>
  <si>
    <t>5 th</t>
  </si>
  <si>
    <t>all</t>
  </si>
  <si>
    <t>i think the available modules are good enough</t>
  </si>
  <si>
    <t>it improved my interpersonal skill</t>
  </si>
  <si>
    <t xml:space="preserve">reasonable number of water points per day </t>
  </si>
  <si>
    <t xml:space="preserve">my knowledge on contaminants was improved </t>
  </si>
  <si>
    <t>inclusion of data analysis as a module</t>
  </si>
  <si>
    <t xml:space="preserve">everything </t>
  </si>
  <si>
    <t>it provides one with various skills</t>
  </si>
  <si>
    <t xml:space="preserve">Bsc agricultural engineering </t>
  </si>
  <si>
    <t xml:space="preserve">Carrying out field tests for physio chemical and biological parameters </t>
  </si>
  <si>
    <t>Increasing the number of water points to be surveyed beyond 700</t>
  </si>
  <si>
    <t xml:space="preserve">It gives the real picture of the quality of water used by the community and gives the fellows a hands on experience and understanding of field data collection </t>
  </si>
  <si>
    <t xml:space="preserve">For areas with rough terrain, make sure the water points are close to each other or else the group in that area should be given utmost 10 water points </t>
  </si>
  <si>
    <t xml:space="preserve">Water quality is really an essential aspect of community health, and it's really true, most areas lack safe drinking water sources </t>
  </si>
  <si>
    <t xml:space="preserve">As per the scope, we were able to cover every part of the program within scheduled time </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</si>
  <si>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t>
  </si>
  <si>
    <t xml:space="preserve">The level of professionalism with which the module is conducted </t>
  </si>
  <si>
    <t xml:space="preserve">The practical session in kabanyoro and mukono should cover more than 5 weeks </t>
  </si>
  <si>
    <t xml:space="preserve">The fellowship has been a whole new experience of opportunities, practical skills, analytical skills and more </t>
  </si>
  <si>
    <t xml:space="preserve">Learning how to conduct surveys in communities </t>
  </si>
  <si>
    <t xml:space="preserve">More about using R language </t>
  </si>
  <si>
    <t xml:space="preserve">Because we got an opportunity to talk to people around the community </t>
  </si>
  <si>
    <t xml:space="preserve">Water point selection given to different groups </t>
  </si>
  <si>
    <t xml:space="preserve">Borehole water is actually better than tap water </t>
  </si>
  <si>
    <t xml:space="preserve">I got to find out what challenges people in the community get during water shortage </t>
  </si>
  <si>
    <t xml:space="preserve">Laboratory training </t>
  </si>
  <si>
    <t xml:space="preserve">Selection of different water points </t>
  </si>
  <si>
    <t xml:space="preserve">This is because we spend time in the field and try to engage with the community which gives us a clear mind about what really happens </t>
  </si>
  <si>
    <t xml:space="preserve">WATER AND IRRIGATION ENGINEERING </t>
  </si>
  <si>
    <t>All of them were really important nothing to leave out</t>
  </si>
  <si>
    <t>All aspects were well planned</t>
  </si>
  <si>
    <t>It exposed me to  quality assurance and quality control of the samples and also it exposed me to community entry which was a great impact</t>
  </si>
  <si>
    <t>Water points distribution  to be at least within a sub county not so further points apart</t>
  </si>
  <si>
    <t>Being able to analyze the data for the samples that we collected</t>
  </si>
  <si>
    <t>As many people may think that clear water is safe, but after going through this fellowship I have come to only ascertain water safe for drinking after doing microbial analysis</t>
  </si>
  <si>
    <t>The fellowship has made aware about the WASH sector and I have obtained a lot of technical and soft skills in the fellowship</t>
  </si>
  <si>
    <t xml:space="preserve">Data analysis module
Community entry awareness
</t>
  </si>
  <si>
    <t>The duration of the data analysis  increased</t>
  </si>
  <si>
    <t>The fellowship builds social capital and also it equips fellows with a variety of field experiences that might be not be acquired during the bachelor's</t>
  </si>
  <si>
    <t>Bachelor's degree in agricultural Engineering</t>
  </si>
  <si>
    <t xml:space="preserve">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how to conduct surveys in communities</t>
  </si>
  <si>
    <t>I wish the fellowship had included training on Geographic Information Systems (GIS) for mapping water quality data, practical sessions on designing small-scale water treatment systems, and more advanced statistical analysis techniques using software like Python or SPSS. It would also be helpful to have sessions on communicating scientific findings to policymakers and local communities.</t>
  </si>
  <si>
    <t>The field data collection provided hands-on experience that helped me apply theoretical knowledge in a real-world setting.</t>
  </si>
  <si>
    <t>time and number of water points allocated</t>
  </si>
  <si>
    <t>My thesis project focused on assessing the quality and accessibility of potable water sources in rural communities, with an emphasis on identifying contamination risks and proposing practical treatment solutions.</t>
  </si>
  <si>
    <t xml:space="preserve">I gained a deeper understanding of the complex causes of poor water quality, such as agricultural runoff, poor waste disposal, and lack of maintenance of water infrastructure. I also realized that community awareness and behavior play a big role in both causing and solving water quality issues. </t>
  </si>
  <si>
    <t>The fellowship provided valuable practical experience, especially in field data collection and understanding local water issues. I was able to apply classroom knowledge in real situations, interact with professionals, and learn from community-based challenges. The program was well-organized and aligned with what I hoped to gain in terms of exposure and learning</t>
  </si>
  <si>
    <t>It made me interested in graduate school or further study, 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</si>
  <si>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 xml:space="preserve">The hands-on fieldwork activities, which provide practical experience .
The opportunity to engage with local communities </t>
  </si>
  <si>
    <t xml:space="preserve">
Increased hands-on training
Networking opportunities</t>
  </si>
  <si>
    <t>The fellowship program offered valuable hands-on experience, practical skills, and direct exposure to local water and environmental challenges. The combination of fieldwork and expert interaction made the learning meaningful and engaging.</t>
  </si>
  <si>
    <t>BSc Water and Irrigation Engineering</t>
  </si>
  <si>
    <t>All of the listed</t>
  </si>
  <si>
    <t>Inter-institutional knowledge and skills sharing in water quality testing including collaborative workshops</t>
  </si>
  <si>
    <t>It has equipped me with most of the relevant employable knowledge and skills</t>
  </si>
  <si>
    <t>Non</t>
  </si>
  <si>
    <t xml:space="preserve">The knowledge acquired in the fellowship reflected that the appearance of water doesn't conclusively indicate the water quality </t>
  </si>
  <si>
    <t xml:space="preserve">Most of the expectations have been met for example am now an employable skilled WASH personnel </t>
  </si>
  <si>
    <t>It made me aware of other possible career paths,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</si>
  <si>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Integration of theoretical and practical training</t>
  </si>
  <si>
    <t>Increasing the number of students for future cohorts so as to equip more personnel with water quality testing skills, to hold awareness campaigns on water quality spearheaded by fellows at institutional and community level</t>
  </si>
  <si>
    <t>The fellowship is knowledge and skill enriching in technical, practical and soft skills with access to free training materials for example the expensive laboratory materials which is financially supported by the Hilton foundation.</t>
  </si>
  <si>
    <t xml:space="preserve">Bachelor of science in civil engineering </t>
  </si>
  <si>
    <t xml:space="preserve">All were beneficial </t>
  </si>
  <si>
    <t>Not sure</t>
  </si>
  <si>
    <t>Simply because I was able to learn new skill which are quite interesting like community entry</t>
  </si>
  <si>
    <t xml:space="preserve">Local water may look clean but that doesn't mean it is safe for drinking so yeah my perception have changed </t>
  </si>
  <si>
    <t xml:space="preserve">Gained a lot of skills </t>
  </si>
  <si>
    <t>The monthly seminars and engagement we had</t>
  </si>
  <si>
    <t xml:space="preserve">So educational and fun at same time </t>
  </si>
  <si>
    <t>BAGE</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</si>
  <si>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the different ways people treat and store drinking water in homes. - interpersonal skills (teamwork and communication) . - centralized water treatment facilities </t>
  </si>
  <si>
    <t xml:space="preserve">Analyze data using R. - community engagement - Health impact related to drinking water </t>
  </si>
  <si>
    <t>Technical skills like repair of some sources eg. boreholes</t>
  </si>
  <si>
    <t xml:space="preserve">The dynamics in the field (ie. community’s reaction, locating some of the water points, working with some new people, paying attention to detail and others), sharpened my mind to think beyond what was presented during the class sessions only . </t>
  </si>
  <si>
    <t xml:space="preserve">I always had it in mind that sources with clear waters can be used without treatment but with the tests done; clarity of water does not guarantee it’s safety </t>
  </si>
  <si>
    <t xml:space="preserve">The class sessions, the mock exercises and the field exercises were so organized in a way that I got equipped with both the theoretical knowledge and practical skills </t>
  </si>
  <si>
    <t xml:space="preserve">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Improved both my interpersonal skills and professional skills </t>
  </si>
  <si>
    <t xml:space="preserve">Mock exercises, monthly webinars, flipped sessions where students also present </t>
  </si>
  <si>
    <t xml:space="preserve">The introduction to R software should be done way earlier because it becomes a challenge to those with very little knowledge in programming to get on board in the time period it’s introduced. This actually causes more of cram work to just complete the data at hand, rather than being helpful for even future individual projects </t>
  </si>
  <si>
    <t xml:space="preserve">The knowledge, skills and experience obtained from this fellowship are unmatched </t>
  </si>
  <si>
    <t xml:space="preserve">Bachelor of Science in Civil Engineering </t>
  </si>
  <si>
    <t xml:space="preserve">How to test for different parameters (physicochemical and microbial )and data analysis </t>
  </si>
  <si>
    <t xml:space="preserve">Selection of different water points as the case study </t>
  </si>
  <si>
    <t xml:space="preserve">It equipped us with more skills in community entry and it was engaging showing us what is really happening in the community </t>
  </si>
  <si>
    <t xml:space="preserve">More effort should be put in dissemination of the data to the community since it's the same area because the people are eager to know the results from the collected data </t>
  </si>
  <si>
    <t xml:space="preserve">There is need to sensitize the community about the quality of the water they consume and it's impact on their lives because most of the times they consume contaminated water out of ignorance or a better option </t>
  </si>
  <si>
    <t xml:space="preserve">The fellowship has equipped me with valuable skills about water quality testing basing on the different modules we have covered and yes I am  confident now a skilled person in the field </t>
  </si>
  <si>
    <t xml:space="preserve">The peer to peer engagements for example the different presentations after and during the modules and the practical sessions </t>
  </si>
  <si>
    <t>Some modules really need to be given more time so that the concepts are actually understood well by the fellows</t>
  </si>
  <si>
    <t xml:space="preserve">It's an experience that not only equip one with water quality testing skills but also improves one's competitive advantage in the job market </t>
  </si>
  <si>
    <t>22 years</t>
  </si>
  <si>
    <t xml:space="preserve">The collection and analysis </t>
  </si>
  <si>
    <t xml:space="preserve">None it was satisfying </t>
  </si>
  <si>
    <t xml:space="preserve">I for one gained a lot of knowledge and experience </t>
  </si>
  <si>
    <t xml:space="preserve">Feeding </t>
  </si>
  <si>
    <t xml:space="preserve">Through the Fellowship I learnt a lot </t>
  </si>
  <si>
    <t xml:space="preserve">Everything </t>
  </si>
  <si>
    <t xml:space="preserve">None because everything was fully delivered </t>
  </si>
  <si>
    <t>Gaining of a lot of knowledge and skills</t>
  </si>
  <si>
    <t xml:space="preserve">Data collection and data analysis </t>
  </si>
  <si>
    <t xml:space="preserve">Mentorship sessions </t>
  </si>
  <si>
    <t xml:space="preserve">They were all well presented and explained </t>
  </si>
  <si>
    <t xml:space="preserve">None </t>
  </si>
  <si>
    <t xml:space="preserve">The program made me improve in various areas of weakness like in making of presentations, data analysis and practical skills </t>
  </si>
  <si>
    <t xml:space="preserve">The duration of the fellowship in the field should be increased </t>
  </si>
  <si>
    <t xml:space="preserve">It was more educative </t>
  </si>
  <si>
    <t xml:space="preserve">BSC in water and irrigation engineering </t>
  </si>
  <si>
    <t>- Training on different types water quality parameters and why they are important
- Training on how drinking water quality affects people’s health
- Learning how to analyze data using R (or other software</t>
  </si>
  <si>
    <t xml:space="preserve">- Integration of water quality with health surveillance data 
- Remote sensing for water quality monitoring. </t>
  </si>
  <si>
    <t>- It  allowed us to apply the theoretical knowledge to actual situations which made the learning process more meaningful and memorable. 
- A lot of valuable skills such as sample collection,  using field equipment, community entry and engagement were gained.</t>
  </si>
  <si>
    <t>Time management and planning since some activities felt rushed.</t>
  </si>
  <si>
    <t xml:space="preserve">Through the training, I came to realize that local water issues are not just about visible dirt or bad taste, they often involve invisible contaminants like E.coli,  nitrates or chemicals that pose serious health risks to the people. </t>
  </si>
  <si>
    <t>The fellowship provided the knowledge,  skills and practical experiences I hoped for.</t>
  </si>
  <si>
    <t>The well structured training  covering water quality parameters,  health impacts, sampling techniques and quality control measures.</t>
  </si>
  <si>
    <t xml:space="preserve">The period for the actual field work could have been lengthened. </t>
  </si>
  <si>
    <t xml:space="preserve">- Through the fellowship program,   practical skills are developed about water quality testing 
- It provides a deeper understanding of water and health issues 
-It provides a supportive learning environment  for the fellowship 
- It is opens up opportunities for the future career </t>
  </si>
  <si>
    <t xml:space="preserve">Bsc. Agricultural Engineering </t>
  </si>
  <si>
    <t>Quality assurance and control</t>
  </si>
  <si>
    <t>Trips to water treatment plants and other applicable places</t>
  </si>
  <si>
    <t xml:space="preserve">Learnt how to interact with people of different communities </t>
  </si>
  <si>
    <t>The time of study and field work can be increased.</t>
  </si>
  <si>
    <t>People are more badly off than I thought in terms of water quality.</t>
  </si>
  <si>
    <t>Alot was learnt and more knowledge was acquired.</t>
  </si>
  <si>
    <t>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</si>
  <si>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Practical study sessions</t>
  </si>
  <si>
    <t>Increase the time in fellowship course</t>
  </si>
  <si>
    <t>It has improved my skills</t>
  </si>
  <si>
    <t xml:space="preserve">Water and Irrigation engineering </t>
  </si>
  <si>
    <t>Learning how to conduct microbial testing (e.g., E. coli testing) in a laboratory or field laboratory setting.</t>
  </si>
  <si>
    <t xml:space="preserve">Possibly microscopic analysis can be included. </t>
  </si>
  <si>
    <t>It gives one an open opportunity to know how data is got from the field.</t>
  </si>
  <si>
    <t>Care should just be taken while filling the survey app while in the field collecting data.
For example if a group of 9members are going to the field, and there are 18water points to be surveyed, it is better to assign each member 2water points, knowing who will start with the first two. This makes everyone take caution. Or it can be done in a cycle ie after so and so taking a survey, it’s so and so next. And surveys should be filled in systematically without going to the next page expecting to come back to the previous page to make any possible adjustments. This is because one can easily forget to go back and end up submitting before the necessary adjustments are made.</t>
  </si>
  <si>
    <t xml:space="preserve">This is evident, I recently went to my village home in kiryandongo district and the borehole with a hand pump near home which was constructed in 2007 releases out brown water in the morning hours and later on becomes clear during the course of the day but it’s clarity is not as expected it can affect the acceptability of the water. 
But time back I used not to see that as a negativity in the quality of water, I saw it as a normal thing. And I look forward to ensure it’s of good quality. </t>
  </si>
  <si>
    <t>As a student Persuing a Bachelor of science in water and irrigation engineering it’s basic for me to be able to know water in detail as far as it’s quality, health impacts, possible contaminants existing in water like physical, chemical and biological , physical and biochemical parameters and many others.</t>
  </si>
  <si>
    <t xml:space="preserve">Everything should be maintained. </t>
  </si>
  <si>
    <t xml:space="preserve">Everything is well. </t>
  </si>
  <si>
    <t xml:space="preserve">It opens up one’s mind to a variety of aspects especially in the water field. For example data analysis, water quality testing </t>
  </si>
  <si>
    <t>Bachelor of science in water and irrigation engineering</t>
  </si>
  <si>
    <t xml:space="preserve">Microbial analysis and data analysis </t>
  </si>
  <si>
    <t xml:space="preserve">It was rough and educating </t>
  </si>
  <si>
    <t xml:space="preserve">Feedback to the community from the previous cohort 
Impacting the community with solutions as well apart from data collection </t>
  </si>
  <si>
    <t xml:space="preserve">I can now tell the definition of water quality in society </t>
  </si>
  <si>
    <t xml:space="preserve">Learnt new skills </t>
  </si>
  <si>
    <t xml:space="preserve">Data analysis </t>
  </si>
  <si>
    <t>Data collection especially in mukono where water points are visited twice</t>
  </si>
  <si>
    <t xml:space="preserve">Different people have different opinions but the fellowship is a good program to be part of </t>
  </si>
  <si>
    <t xml:space="preserve">BSC. Water and irrigation engineering </t>
  </si>
  <si>
    <t xml:space="preserve">Microbial analysis and community entry since I had to associate with the local people to get the required data for processing </t>
  </si>
  <si>
    <t>Training the fellowship on how to teach the community on how to keep water safe and microbe free to reduce water contamination at different levels</t>
  </si>
  <si>
    <t>I gained different skills from field data collection like how to test for different physical parameters like turbidity and chemical parameters on site 
I also gained a skill of how to properly handle the collected sample on site</t>
  </si>
  <si>
    <t>The whirl packs can be manufactured with there own QR code as this can help to reduce errors and also easies data labelling</t>
  </si>
  <si>
    <t>Local water quality was local since most of the locals were using unimproved water sources as there collection point and this left them at high risks of getting sick</t>
  </si>
  <si>
    <t>This is because right now I have gained the skills on how to test physical parameters, chemical parameters and also carryout microbial analysis which helps me to determine the quality of water of different water points</t>
  </si>
  <si>
    <t>It made me interested in graduate school or further study, It gave me knowledge about research methods to help in future studies, It allowed me to network with other students and create new relationships, It gave me a competitive advantage, which will increase my job opportunity / employability</t>
  </si>
  <si>
    <t>Create a graduate program so as to equip more skills to the fresh graduates in the WASH sector</t>
  </si>
  <si>
    <t>Increasing the number of district in which the program should run</t>
  </si>
  <si>
    <t>It equips one with the different skills in WASH sector</t>
  </si>
  <si>
    <t>Learning how to conduct microbial testing and analyse data using R</t>
  </si>
  <si>
    <t>Its full package</t>
  </si>
  <si>
    <t>It helped me compare what the expected results and the real results found in field and also community entry skills</t>
  </si>
  <si>
    <t>I think all was well</t>
  </si>
  <si>
    <t>Initially I thought the community takes at worst the lowest ph to be 5 but on my surprise it was way below that at around 4</t>
  </si>
  <si>
    <t>Because I even got the knowledge of data analysis which is not taught in my course unit and I became proficient in lab work</t>
  </si>
  <si>
    <t>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</si>
  <si>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The aspect of involving each and everyone in presentation  should be maintaine</t>
  </si>
  <si>
    <t>I think data analysis using R's time should be increased</t>
  </si>
  <si>
    <t>Iam a changed person than before interms of confidence, associating with different people in community and also understanding things without cramming and also very proficient in lab skills</t>
  </si>
  <si>
    <t xml:space="preserve">Bachelor's degree in industrial chemistry </t>
  </si>
  <si>
    <t xml:space="preserve">The practical part of the fellowship </t>
  </si>
  <si>
    <t xml:space="preserve">More time in the coding process </t>
  </si>
  <si>
    <t xml:space="preserve">We interacted with different communities </t>
  </si>
  <si>
    <t xml:space="preserve">I am now an expert in water quality testing </t>
  </si>
  <si>
    <t xml:space="preserve">The practical part </t>
  </si>
  <si>
    <t xml:space="preserve">The R coding was given few days </t>
  </si>
  <si>
    <t xml:space="preserve">It was a nice and educative fellowship </t>
  </si>
  <si>
    <t xml:space="preserve">22 years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</si>
  <si>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Use of mwater survey app to carry out surveys</t>
  </si>
  <si>
    <t xml:space="preserve">Fieldwork </t>
  </si>
  <si>
    <t>Usage of R programming  language as a separate module</t>
  </si>
  <si>
    <t>Because I learnt how to effectively collect and process water samples while ensuring data quality through usage of blank samples</t>
  </si>
  <si>
    <t>Community entry</t>
  </si>
  <si>
    <t xml:space="preserve">Clear water doesn't mean it's safe for drinking </t>
  </si>
  <si>
    <t xml:space="preserve">I gained more knowledge on drinking water quality and how to effectively analyze data </t>
  </si>
  <si>
    <t xml:space="preserve">It's far beyond what I expected </t>
  </si>
  <si>
    <t>How to conduct microbial testing</t>
  </si>
  <si>
    <t>How to treat water</t>
  </si>
  <si>
    <t>It was interesting</t>
  </si>
  <si>
    <t>Time should be more for field data collection</t>
  </si>
  <si>
    <t>I didn't have enough exposure to water quality issues</t>
  </si>
  <si>
    <t xml:space="preserve">I learned a lot </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</si>
  <si>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t>
  </si>
  <si>
    <t>Practical sessions</t>
  </si>
  <si>
    <t>Allocate more time for field sampling</t>
  </si>
  <si>
    <t>It teaches you alot</t>
  </si>
  <si>
    <t>Data Analysis and Microbial processing</t>
  </si>
  <si>
    <t>More time with Data analysi</t>
  </si>
  <si>
    <t xml:space="preserve">I have been transformed all round </t>
  </si>
  <si>
    <t xml:space="preserve">I noticed so many new water sites to map but could not investigate them because they were not assigned to us.  
</t>
  </si>
  <si>
    <t>I didn't know people are taking unsafe water and it is all they have, this time not through television but I saw with my eyes.</t>
  </si>
  <si>
    <t xml:space="preserve">I didn't anticipate the fellowship to add a lot to me. I thought I was going to see things I was used to </t>
  </si>
  <si>
    <t>Data analysis</t>
  </si>
  <si>
    <t>More time in data analysis</t>
  </si>
  <si>
    <t xml:space="preserve">There is not much out there that is better than the fellowship experience. 
</t>
  </si>
  <si>
    <t xml:space="preserve">Bachelor's Degree in Agricultural Engineering  </t>
  </si>
  <si>
    <t xml:space="preserve">Data collection and analysis </t>
  </si>
  <si>
    <t>More data analysis techniques</t>
  </si>
  <si>
    <t>I gained skills.</t>
  </si>
  <si>
    <t>Time spent in the field to be reduced</t>
  </si>
  <si>
    <t xml:space="preserve">More investment is needed in the WASH sector for better living. </t>
  </si>
  <si>
    <t xml:space="preserve">I gained understanding. </t>
  </si>
  <si>
    <t xml:space="preserve">RStudio training </t>
  </si>
  <si>
    <t xml:space="preserve">Minimising the number of samples for each day so that fatigue is lowered. </t>
  </si>
  <si>
    <t>I gained diverse skills.</t>
  </si>
  <si>
    <t xml:space="preserve">Bio processing engineering. </t>
  </si>
  <si>
    <t xml:space="preserve">They are all important because they go hand in hand although the most was conducting microbial testing to determine the quality of water </t>
  </si>
  <si>
    <t xml:space="preserve">Construction of safe water points as water and irrigation engineering students </t>
  </si>
  <si>
    <t>It's the baseline of everything that we did in the testing of water samples</t>
  </si>
  <si>
    <t xml:space="preserve">i was proposing that the study should be extended and be done extensively like covering the whole of Uganda not basing on one district 
Thank you </t>
  </si>
  <si>
    <t xml:space="preserve">the effect of air pollution on rainwater and how it affects it's palatability </t>
  </si>
  <si>
    <t>I wanted to learn and understand how to determine the quality of water</t>
  </si>
  <si>
    <t xml:space="preserve">Analysis of the quality of water samples </t>
  </si>
  <si>
    <t xml:space="preserve">they were done perfectly to my side and am really satisfied </t>
  </si>
  <si>
    <t xml:space="preserve">iam now a changed person because currently am now planning to go ahead and engage leaders to help my community on how best we can ensure community to take quality water </t>
  </si>
  <si>
    <t xml:space="preserve">BACHELORS IN WATER AND IRRIGATION ENGINEERING </t>
  </si>
  <si>
    <t xml:space="preserve">Training on how drinking water quality affects health of people </t>
  </si>
  <si>
    <t xml:space="preserve">Mashing water points </t>
  </si>
  <si>
    <t xml:space="preserve">Because I learnt a lot in the field </t>
  </si>
  <si>
    <t xml:space="preserve">Because now I know the quality of most of the water from different from water points </t>
  </si>
  <si>
    <t xml:space="preserve">Because I achieved what I expected to get and got more </t>
  </si>
  <si>
    <t xml:space="preserve">Teamwork and spilling </t>
  </si>
  <si>
    <t xml:space="preserve">Not changing groups so that we can work with different individuals </t>
  </si>
  <si>
    <t xml:space="preserve">Because I learnt a lot and would like someone else to get the same skills </t>
  </si>
  <si>
    <t xml:space="preserve">The field work </t>
  </si>
  <si>
    <t xml:space="preserve">More time on R </t>
  </si>
  <si>
    <t xml:space="preserve">I loved the person it made me more committed </t>
  </si>
  <si>
    <t xml:space="preserve">More water points </t>
  </si>
  <si>
    <t xml:space="preserve">I see the world in a different way more careful </t>
  </si>
  <si>
    <t xml:space="preserve">The field work 
The laboratory work </t>
  </si>
  <si>
    <t xml:space="preserve">More time in the field </t>
  </si>
  <si>
    <t xml:space="preserve">Everyone needs it for more clean and safe water </t>
  </si>
  <si>
    <t xml:space="preserve">Bachelors of science in water and irrigation engineering </t>
  </si>
  <si>
    <t>learning how to analyze data using R</t>
  </si>
  <si>
    <t>I gained a lot of skills</t>
  </si>
  <si>
    <t>I gained a lot of skills to help most of the communities in my area</t>
  </si>
  <si>
    <t xml:space="preserve">network with other students </t>
  </si>
  <si>
    <t>It opens our minds to the engineering world</t>
  </si>
  <si>
    <t xml:space="preserve">Bachelor of science in Water and Irrigation engineering </t>
  </si>
  <si>
    <t xml:space="preserve">Microbial testing, R, analyzing and recording of physical parameters. </t>
  </si>
  <si>
    <t xml:space="preserve">I wish python were used instead of R, python is a more common language that easily makes one more valuable in the career and startup world. I wish we visited a water treatment plant. </t>
  </si>
  <si>
    <t xml:space="preserve">I learnt alot from the activity. </t>
  </si>
  <si>
    <t>I initially thought bore hole water was unsafe and turned out otherwise. Tap water is not liked by communities due to its high levels of residual chlorine.</t>
  </si>
  <si>
    <t xml:space="preserve">The knowledge delivered was quite beyond my expectations. </t>
  </si>
  <si>
    <t xml:space="preserve">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It gave me an insight of the water quality problems faced in my country, this can help me start up a company that solves the current problems faced.  </t>
  </si>
  <si>
    <t xml:space="preserve">The Do It Yourself mentality instilled in fellows. </t>
  </si>
  <si>
    <t xml:space="preserve">Change of district from Mukono to other. </t>
  </si>
  <si>
    <t xml:space="preserve">Skills attained and knowledge delivered are difficult to find at many other internships.
</t>
  </si>
  <si>
    <t>Learning how to conduct microbial testing (e.g., E. coli testing) in a laboratory or field laboratory setting
Learning how to test physical-chemical parameters like pH, electrical conductivity, and turbidity
Community entry</t>
  </si>
  <si>
    <t>More Data analysis tools</t>
  </si>
  <si>
    <t>It was practical ,more engaging and taught me being patient with people from different communities</t>
  </si>
  <si>
    <t>Prior information can be given to communities so that respondents are available during data collection</t>
  </si>
  <si>
    <t>Water can not be assumed to be safe by its physical appearance</t>
  </si>
  <si>
    <t>Acquired a special skill of data analysis ,water testing and sampling</t>
  </si>
  <si>
    <t>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</si>
  <si>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Data analysis ,fun activities</t>
  </si>
  <si>
    <t>Providing enough time during data analysis module</t>
  </si>
  <si>
    <t>Gives more field experience than class knowledge</t>
  </si>
  <si>
    <t>Water and Irrigation Engineering</t>
  </si>
  <si>
    <t>Which module are you evaluating?</t>
  </si>
  <si>
    <t>How satisfied were you with this module overall?</t>
  </si>
  <si>
    <t>Please explain your answer to the above question.</t>
  </si>
  <si>
    <t>The topics covered were relevant to the module.</t>
  </si>
  <si>
    <t>The module was well organized (the schedule, the files, assignments etc.).</t>
  </si>
  <si>
    <t>The Powerpoint slides were understandable and easy to navigate.</t>
  </si>
  <si>
    <t>The activities and discussions helped me understand the key points.</t>
  </si>
  <si>
    <t>The activity instructions were clearly explained.</t>
  </si>
  <si>
    <t>The time allocated for the module and the activities was appropriate.</t>
  </si>
  <si>
    <t>I believe that what I learned in this module will be useful in my academic or professional future.</t>
  </si>
  <si>
    <t>How do you rate the difficulty of the module's final quiz?</t>
  </si>
  <si>
    <t>How do you rate the overall effectiveness of the instructor in delivering the module?</t>
  </si>
  <si>
    <t>What do you consider as the strengths of the module?</t>
  </si>
  <si>
    <t>Which areas of the module do you think could be improved? (e.g., anything related to the topics, the schedule, the instruction, the mode of delivery, etc.)</t>
  </si>
  <si>
    <t>Are you an undergraduate or graduate student?</t>
  </si>
  <si>
    <t>Module 1 - Background on DWQ</t>
  </si>
  <si>
    <t>Extremely satisfied</t>
  </si>
  <si>
    <t>Medium</t>
  </si>
  <si>
    <t>Very good</t>
  </si>
  <si>
    <t xml:space="preserve">Understandable, easy, well organized, good discussion content </t>
  </si>
  <si>
    <t>I think it is enough good</t>
  </si>
  <si>
    <t>Bahir Dar University</t>
  </si>
  <si>
    <t>Undergraduate student</t>
  </si>
  <si>
    <t>The module was very informative , understandable and also the lectures was interactive.</t>
  </si>
  <si>
    <t>Easy</t>
  </si>
  <si>
    <t>understandable, informative and delivered in better way than common lectures we know.</t>
  </si>
  <si>
    <t>nothing</t>
  </si>
  <si>
    <t>Module 2 - Health Impacts of DWQ</t>
  </si>
  <si>
    <t xml:space="preserve">Understandable </t>
  </si>
  <si>
    <t>we discussed about health impacts of DWQ in understandable way and also the module was well organized which is easy to navigate</t>
  </si>
  <si>
    <t>Nothing</t>
  </si>
  <si>
    <t xml:space="preserve">It's easily understable </t>
  </si>
  <si>
    <t xml:space="preserve">Excellent </t>
  </si>
  <si>
    <t>I extremely satisfied with the contents and delivery methods of module one. I have got basik knowledges about drinking water quality .</t>
  </si>
  <si>
    <t>In my point of view the strength of the module was to try to relate ideas with real scenarios using pictures and having discussion questions in the middle to capture and memorize easily what we learned.</t>
  </si>
  <si>
    <t>I think there is nothing to be improved. Rather I have a great appreciation to Mr. Eshetu who delivers the module. He has a great potential and to be advised as an exemplary person to our generation.</t>
  </si>
  <si>
    <t xml:space="preserve">Was good </t>
  </si>
  <si>
    <t>All of them they were good</t>
  </si>
  <si>
    <t>I am so satisfied about the course content it is not bulky and it is not short it is well organized</t>
  </si>
  <si>
    <t>It is good</t>
  </si>
  <si>
    <t>Somewhat satisfied</t>
  </si>
  <si>
    <t>Provide overall introduction about drinking water quality</t>
  </si>
  <si>
    <t>It should continue as it is</t>
  </si>
  <si>
    <t>Understandable, well organized and good flow with previous module</t>
  </si>
  <si>
    <t>It is enough good</t>
  </si>
  <si>
    <t>It provide general overview for water born disease transmission</t>
  </si>
  <si>
    <t>Well organised and simply prepared module</t>
  </si>
  <si>
    <t>I can't find any drawback</t>
  </si>
  <si>
    <t xml:space="preserve">Well organised module </t>
  </si>
  <si>
    <t xml:space="preserve">I can't find any drawback </t>
  </si>
  <si>
    <t xml:space="preserve">Clear and structured </t>
  </si>
  <si>
    <t xml:space="preserve">Am realy getting something
</t>
  </si>
  <si>
    <t xml:space="preserve">Well organized </t>
  </si>
  <si>
    <t>Specification part of contaminats</t>
  </si>
  <si>
    <t xml:space="preserve">It's typically consider to be its  ability to effectiveness achieve it's objective of learning. </t>
  </si>
  <si>
    <t>The visual aids and multimedia have to be improved like add videos in the learning process to increase the effectiveness of understanding.</t>
  </si>
  <si>
    <t>It has clear learning objectives, well structured content.</t>
  </si>
  <si>
    <t>The depth of the topic</t>
  </si>
  <si>
    <t xml:space="preserve">The explanations was clear and satisfactory </t>
  </si>
  <si>
    <t xml:space="preserve">Knowing how pathogens/ germs get into our body/ new host and how to break the transmission lines </t>
  </si>
  <si>
    <t xml:space="preserve">Practicals  </t>
  </si>
  <si>
    <t>Le me say I couldn't agree more because the instructor was delivering the contents in brief and understandable ways. He did more than what I expected from the module.</t>
  </si>
  <si>
    <t>The same to that of module one it has a brief explanation and good explanatory pictures to grasp what it means easily and also to memorize .</t>
  </si>
  <si>
    <t>Nothing could be improved. In my point of view all the topics, the schedule, the instruction and mode of delivery are familiar for us.</t>
  </si>
  <si>
    <t>Module 3 - Parameters and Contaminants</t>
  </si>
  <si>
    <t>In this module also I have got a comprehensive ideas both on module one and two contents. Since module three talks about drinking water quality parameters and contaminants, I have learned about physical, chemical and microbiological parameters and also anthropogenic, geogenic and natutal sources of contaminants.</t>
  </si>
  <si>
    <t>Yes, in module three there was a presentation about water quality contaminants like the physical, chemical and microbiological contaminants. So we got an experience about the contaminants by comparing the WHO and national guidelines and also how the standards are set by the stakeholders interms of water sources, economy and technological aspects. Finally I have to say thank you our instructor Dr.Meseret as she successfully delivered module for us in two days using short, brief and understandable slides and we enjoyed about the presentation she gave us.</t>
  </si>
  <si>
    <t>The most interesting part was the presentation delivery methods. Because as a student we share our experiences and the topic listed on the module was invaluable as it generalizes both module one and two. And also the leaflets to memorize behaviour of contaminants in short ways was also an interesting part of the module.</t>
  </si>
  <si>
    <t xml:space="preserve">Well prepared and easy to understand </t>
  </si>
  <si>
    <t xml:space="preserve">I can't find any drawback on the module </t>
  </si>
  <si>
    <t xml:space="preserve">Was Extremely satisfied </t>
  </si>
  <si>
    <t xml:space="preserve">All were good </t>
  </si>
  <si>
    <t>Execellent</t>
  </si>
  <si>
    <t>All they were good</t>
  </si>
  <si>
    <t xml:space="preserve">Method of delivery </t>
  </si>
  <si>
    <t xml:space="preserve">Knowing about the parameters eg the chemical, physical etc and the contaminants </t>
  </si>
  <si>
    <t xml:space="preserve">The health impact of DWQ was interesting module it tell about the effect and diseases that couses due to DWQ </t>
  </si>
  <si>
    <t xml:space="preserve">The module is not hard and is not easy it has average strength </t>
  </si>
  <si>
    <t>Nothing be improved</t>
  </si>
  <si>
    <t xml:space="preserve">I satisfied with the course content and with the activities were interesting practices for the next modules. </t>
  </si>
  <si>
    <t>Hard</t>
  </si>
  <si>
    <t>It was hard relative to the previous modules. It has hard contents.</t>
  </si>
  <si>
    <t xml:space="preserve">I am satisfied but presentation time to long </t>
  </si>
  <si>
    <t xml:space="preserve">It is good and understandable </t>
  </si>
  <si>
    <t xml:space="preserve">All are good I have no comment or suggestions for documents </t>
  </si>
  <si>
    <t xml:space="preserve">I am satisfied </t>
  </si>
  <si>
    <t xml:space="preserve">It is good </t>
  </si>
  <si>
    <t xml:space="preserve">All are good </t>
  </si>
  <si>
    <t xml:space="preserve">It is good and  I am satisfied </t>
  </si>
  <si>
    <t xml:space="preserve">It is very nice it describes all things clear </t>
  </si>
  <si>
    <t xml:space="preserve">Well structured </t>
  </si>
  <si>
    <t xml:space="preserve">Doesn't need improvement </t>
  </si>
  <si>
    <t>Doesn't need improvement</t>
  </si>
  <si>
    <t xml:space="preserve">It describes about different parameters of water. Such as physical, chemical and biological in detail. </t>
  </si>
  <si>
    <t>The session was interactive</t>
  </si>
  <si>
    <t>easily understandable ,informative and the overall session was good</t>
  </si>
  <si>
    <t>Because teaching condition is more interactive</t>
  </si>
  <si>
    <t>Easily understaandble</t>
  </si>
  <si>
    <t>All are good</t>
  </si>
  <si>
    <t>I gained knowledge about Health impact of DWQ which gives me significant consideration for keeping water quality safe as much as possible</t>
  </si>
  <si>
    <t xml:space="preserve">It well organized and time oriented </t>
  </si>
  <si>
    <t>I know deeply and brifely health impact of water if not pure</t>
  </si>
  <si>
    <t xml:space="preserve">Prepared precisely </t>
  </si>
  <si>
    <t>Oh it is good</t>
  </si>
  <si>
    <t>I know clearly about parameters used for water quality testing in eadly.and understandable way.</t>
  </si>
  <si>
    <t>Precise</t>
  </si>
  <si>
    <t xml:space="preserve">To protect the puplic health </t>
  </si>
  <si>
    <t>To determine the cause and consequence of disease</t>
  </si>
  <si>
    <t>Especialley in Rural area</t>
  </si>
  <si>
    <t>To determine cause and consequence of pathogen</t>
  </si>
  <si>
    <t>In rural area</t>
  </si>
  <si>
    <t>Top protect puplic health</t>
  </si>
  <si>
    <t>Cause and consequence of contaminant</t>
  </si>
  <si>
    <t>In rural area like in amhara saint denssa</t>
  </si>
  <si>
    <t xml:space="preserve">Well organized, understandable </t>
  </si>
  <si>
    <t>All the content in the module is clear, relevant, and improved my understanding of drinking water quality.</t>
  </si>
  <si>
    <t>Its clear and concise explanation of concepts related to the drinking water quality through real world examples.</t>
  </si>
  <si>
    <t>Its difficult to identify significant areas for improvement.</t>
  </si>
  <si>
    <t>I have enough understanding about the quality of water and how it is contaminated</t>
  </si>
  <si>
    <t xml:space="preserve"> overall effectiveness of the instructor in delivering the module</t>
  </si>
  <si>
    <t xml:space="preserve">anything related to the topics, </t>
  </si>
  <si>
    <t>It's well prepared and also easy to understand</t>
  </si>
  <si>
    <t>The module covered the essential concepts, but I felt some topics lacked water quality issues in different regions.</t>
  </si>
  <si>
    <t>The diagrams and the illustrations made the process easy to visualize and understand.</t>
  </si>
  <si>
    <t>Adding more activities and discussion forums would significantly enhance the learning experience and improve the understanding of the material.</t>
  </si>
  <si>
    <t>The course was well organized and highly informative. The content was structured in a way that made it easy to follow and understand. I truly admire the instructors for their expertise and engaging teaching style.</t>
  </si>
  <si>
    <t>Organized and communicative</t>
  </si>
  <si>
    <t>Nothing so far</t>
  </si>
  <si>
    <t>Am exited and am proud off the way the ppt made</t>
  </si>
  <si>
    <t>I really appreciat stakeholders helping us to get purposeful topics</t>
  </si>
  <si>
    <t xml:space="preserve">Ways of contamination </t>
  </si>
  <si>
    <t>The information was presented in clear and accessible manner. I particularly appreciated the depth coverage of the health effects associated with specific contaminants.</t>
  </si>
  <si>
    <t>The inclusion of real world contamination events and their health outcomes was a very effective way to illustrate the importance of water quality monitoring and regulation.</t>
  </si>
  <si>
    <t>Additional examples and exercises would be beneficial to improve engagement and understanding.</t>
  </si>
  <si>
    <t>They are good teachers (all of them)</t>
  </si>
  <si>
    <t xml:space="preserve">It’s easy to understand </t>
  </si>
  <si>
    <t xml:space="preserve">Its all good </t>
  </si>
  <si>
    <t xml:space="preserve">The materials were interesting and the teaching method used were clear and engaging </t>
  </si>
  <si>
    <t xml:space="preserve">Well defined </t>
  </si>
  <si>
    <t xml:space="preserve">It’s all good </t>
  </si>
  <si>
    <t xml:space="preserve">A well structured module with engaging content and clear to understand </t>
  </si>
  <si>
    <t xml:space="preserve">Clear explanation, interactive activities keep me involved and motivate to take courses </t>
  </si>
  <si>
    <t>Module 4 - Analytical Methods</t>
  </si>
  <si>
    <t xml:space="preserve">The topics covered were relevant to our future practices and operations </t>
  </si>
  <si>
    <t xml:space="preserve">It's well oriented and organized </t>
  </si>
  <si>
    <t>I have got what I expected from the module as  our instructor gives an outstanding lectures and also since he gave us a real scenario which tries to cover the portions we learned in the form of group discussion I can memorize easily those concepts even in the future career too.</t>
  </si>
  <si>
    <t>Taking drinking water samples from BiT cafeteria and dormitory water sources and checking the physical, chemical, and microbiological parameters that we learned from the four modules and also we learned laboratory safety measures, how to take samples etc.</t>
  </si>
  <si>
    <t>Nothing could be improved. Everything was good and I have to say keep it up on this way  till end of other modules.</t>
  </si>
  <si>
    <t xml:space="preserve">This module is more practical than the previous modules and satisfied </t>
  </si>
  <si>
    <t xml:space="preserve">The lab and field programs are good </t>
  </si>
  <si>
    <t xml:space="preserve">No thing to be improved </t>
  </si>
  <si>
    <t xml:space="preserve">Extremely excited </t>
  </si>
  <si>
    <t xml:space="preserve">All they’re good </t>
  </si>
  <si>
    <t>Is good to have it</t>
  </si>
  <si>
    <t xml:space="preserve">Well organized and coherent </t>
  </si>
  <si>
    <t>Nothing because all the content of the module is good</t>
  </si>
  <si>
    <t xml:space="preserve">Delivery method </t>
  </si>
  <si>
    <t xml:space="preserve">Easy to understand </t>
  </si>
  <si>
    <t>Easy to understand</t>
  </si>
  <si>
    <t xml:space="preserve">The activities,  presentations, the practice in the lab are considered as strength of the module </t>
  </si>
  <si>
    <t xml:space="preserve"> needs detail and more lab practice </t>
  </si>
  <si>
    <t>it was practical and i gained practical knowledge from the 4 consecutive day training of the module</t>
  </si>
  <si>
    <t>Easy to understand and practical</t>
  </si>
  <si>
    <t>I learned a lot and found the module to be very helpful with the contents and discussion activities.</t>
  </si>
  <si>
    <t>The discussion activities the topics coverd  was very helpful.</t>
  </si>
  <si>
    <t>The time alloted was sufficient, but certain topics felt somewhat rushed by instructor which is not explained in depth.</t>
  </si>
  <si>
    <t>The delivery was well executed and demonstrated very well.</t>
  </si>
  <si>
    <t>It is very relatable to what I see at my home and hostel</t>
  </si>
  <si>
    <t>Summarize the concepts by noon. After noon really feels an overstretched.</t>
  </si>
  <si>
    <t>It went deep to elaborate more on the water quality parameters what to test , why we test and following what so I was able to capture everything on my figure tips</t>
  </si>
  <si>
    <t>If am able to understand the why part 
Why do we test question?? Then that defines the strength of the module</t>
  </si>
  <si>
    <t xml:space="preserve">Everypart in this module was clear </t>
  </si>
  <si>
    <t>The module taught key concepts and parameters of drinking water quality and at the end there was an evaluation test which solidified the understanding of the concepts in pin pointed gaps in knowledge making us aware of the deficiency in knowledge so that we can read further to understand the cocepts</t>
  </si>
  <si>
    <t>I pretty much learnt everything or most of the things</t>
  </si>
  <si>
    <t>The whole point about contaminants and their categories and how they get into drinking water it made alot of sense</t>
  </si>
  <si>
    <t>The activities really helped with understanding the module.</t>
  </si>
  <si>
    <t>More interesting activities should be done.</t>
  </si>
  <si>
    <t xml:space="preserve">I have learnt alot from the basics </t>
  </si>
  <si>
    <t xml:space="preserve">How mainly to test the parameters </t>
  </si>
  <si>
    <t xml:space="preserve">nothing </t>
  </si>
  <si>
    <t xml:space="preserve">I have come to learn the different contaminates of water and their health impacts.
Also the WHO guidelines and the National standards on water </t>
  </si>
  <si>
    <t>More research resources like funding should be aided to the ressearchers</t>
  </si>
  <si>
    <t xml:space="preserve">Logistics mostly lunch should be provided </t>
  </si>
  <si>
    <t xml:space="preserve">Have known the various categories of contaminants ie physical, chemical and biological </t>
  </si>
  <si>
    <t xml:space="preserve">The different categories of contaminants, origins, health impacts, vulnerable populations, the World Health Organization guidelines and the standards </t>
  </si>
  <si>
    <t xml:space="preserve">All areas are perfect </t>
  </si>
  <si>
    <t>Module 6 - Water Treatment and WSPs</t>
  </si>
  <si>
    <t xml:space="preserve">Good </t>
  </si>
  <si>
    <t xml:space="preserve">Excited 
</t>
  </si>
  <si>
    <t xml:space="preserve">Everything they’re good </t>
  </si>
  <si>
    <t>Since I got the chance to practice in laboratory it was easy to comprehend all those concepts and as it incorporates group discussion question it was very interesting session and I am extremely satisfied with module 6. I have learned about household water treatment techniques and may be I will use those techniques in my life. Finally I have to say thanks a lot for those who moderate module 6.</t>
  </si>
  <si>
    <t>As we develop theoretical concepts by practical sessions in laboratory it was very helpful for us and even we can easily remember for the future. So it was very super important to us having an experience about laboratory practices.</t>
  </si>
  <si>
    <t>In my point of view everything was good and nothing could be improved since I extremely satisfied with the module.</t>
  </si>
  <si>
    <t>All water quality parameters and contaminants have been thoroughly explained and I have understood them and their impacts</t>
  </si>
  <si>
    <t xml:space="preserve">The module was well explained and so the parameters and contaminants were well understood </t>
  </si>
  <si>
    <t>It was over repeating things from module 1 and 2</t>
  </si>
  <si>
    <t>The lecturers gave in their time and the topics were really greatly understood.
I can say , l have good knowledge about the module topics.</t>
  </si>
  <si>
    <t xml:space="preserve">It really explained the water contaminants and parameters very well.
The good instructors 
Then a detailed description of the WHO guidelines and National Standard guidelines </t>
  </si>
  <si>
    <t xml:space="preserve">Nothing, everything was perfectly good.
Special appreciation to our lecturers
</t>
  </si>
  <si>
    <t xml:space="preserve">The module and overall lecture was interesting </t>
  </si>
  <si>
    <t>The module is prepared in away easy to understand the all about household WT and WWSP and it is really an amazing session</t>
  </si>
  <si>
    <t xml:space="preserve">Module brought a clear explanation and knowledge about water parameters and contaminants </t>
  </si>
  <si>
    <t xml:space="preserve">Water quality parameters and contaminants </t>
  </si>
  <si>
    <t>I understood the different parameters of the quality of drinking water and the contaminants. Also learnt that evidence for just observation in terms of color, taste and adour can not guarantee that water is safe for drinking.</t>
  </si>
  <si>
    <t xml:space="preserve">Different water parameters </t>
  </si>
  <si>
    <t xml:space="preserve">More time is needed </t>
  </si>
  <si>
    <t>It was good</t>
  </si>
  <si>
    <t>It was medium strength compare with other modules</t>
  </si>
  <si>
    <t xml:space="preserve"> No thing</t>
  </si>
  <si>
    <t>To make the water safe drinking and protect puplic health</t>
  </si>
  <si>
    <t>Rural areas</t>
  </si>
  <si>
    <t>How to treat water in house hold</t>
  </si>
  <si>
    <t>How to protect our health</t>
  </si>
  <si>
    <t>Just know it was helpful, it has helped me to safe guard my drinking water and I intend to share everything with my home people and the community I am in</t>
  </si>
  <si>
    <t xml:space="preserve">Sources of water drinking contaminants </t>
  </si>
  <si>
    <t xml:space="preserve">None, everything was fully explored </t>
  </si>
  <si>
    <t xml:space="preserve">Which is easy to understand </t>
  </si>
  <si>
    <t xml:space="preserve">Doesn't need to improve </t>
  </si>
  <si>
    <t>I am satisfied with this module
about health impact of drinking water quality and what does that means safe drinking water  and also how we can get safe drinking water</t>
  </si>
  <si>
    <t>It is short and clear ,easy to understand</t>
  </si>
  <si>
    <t>Health impact of DWQ</t>
  </si>
  <si>
    <t>I understand about drinking water quality</t>
  </si>
  <si>
    <t>It is very nice</t>
  </si>
  <si>
    <t>Water quality</t>
  </si>
  <si>
    <t>I understand how drinking water tested analytically</t>
  </si>
  <si>
    <t xml:space="preserve">IT gives enough understanding about how we measure drinking water quality </t>
  </si>
  <si>
    <t>physical ,chemical and microbiological testing</t>
  </si>
  <si>
    <t>i understand water treatment and water safety plan</t>
  </si>
  <si>
    <t>How we treat water Easly in our house</t>
  </si>
  <si>
    <t xml:space="preserve">household water treatment </t>
  </si>
  <si>
    <t>The module collectively elaborates drinking water parameters and contaminats</t>
  </si>
  <si>
    <t xml:space="preserve">The module activities help fellows grasp the concept very well </t>
  </si>
  <si>
    <t xml:space="preserve">The module is fully updated </t>
  </si>
  <si>
    <t xml:space="preserve">I found the material highly engaging  and the content was well structured </t>
  </si>
  <si>
    <t xml:space="preserve">Concepts were explained clearly and effectively </t>
  </si>
  <si>
    <t xml:space="preserve">The content was well organized and presented clearly </t>
  </si>
  <si>
    <t>Activities and discussions encouraged active participation, allowing for a more enriching learning experience.</t>
  </si>
  <si>
    <t>Good topics , good instructions</t>
  </si>
  <si>
    <t>Students can take responsibility for the quality of water in there household.</t>
  </si>
  <si>
    <t xml:space="preserve">I get detail knowledge related to thos modules </t>
  </si>
  <si>
    <t xml:space="preserve">Short and precise </t>
  </si>
  <si>
    <t>He was presented in simple and understandable way</t>
  </si>
  <si>
    <t xml:space="preserve">Details expression of topics with images </t>
  </si>
  <si>
    <t xml:space="preserve">I understood it better </t>
  </si>
  <si>
    <t xml:space="preserve">Educative and applicable in our community </t>
  </si>
  <si>
    <t xml:space="preserve">Applicable to our community  and it covers the real issues we see in our daily lives </t>
  </si>
  <si>
    <t>It is good I am satisfied</t>
  </si>
  <si>
    <t>It is more satisfied but not exterm</t>
  </si>
  <si>
    <t xml:space="preserve">It is very nice but it is short </t>
  </si>
  <si>
    <t xml:space="preserve">I think add more explanation or  add more explanation for given content </t>
  </si>
  <si>
    <t>It's more best we gain strong knowledge and also practical skill on this module</t>
  </si>
  <si>
    <t>It's so oriented and organized module</t>
  </si>
  <si>
    <t xml:space="preserve">I get all the points on the training </t>
  </si>
  <si>
    <t>As an introduction it give me a clue for the rest</t>
  </si>
  <si>
    <t xml:space="preserve">It's so interesting </t>
  </si>
  <si>
    <t xml:space="preserve">It give us more about the health impact </t>
  </si>
  <si>
    <t>Noneof them</t>
  </si>
  <si>
    <t>It is tangible.</t>
  </si>
  <si>
    <t>Practicals to actually see these parameters. But I believe we shall see them at a later stage.</t>
  </si>
  <si>
    <t xml:space="preserve">It exposed me to the different parameters, how they are brought up and how they are transported to the point of use </t>
  </si>
  <si>
    <t>Exposed me to the different units used in water  testing</t>
  </si>
  <si>
    <t>Interesting instructors who dug to the core of the course</t>
  </si>
  <si>
    <t xml:space="preserve">Content </t>
  </si>
  <si>
    <t xml:space="preserve">Topics </t>
  </si>
  <si>
    <t xml:space="preserve">This has been the module l greatly understood entirely what was taught </t>
  </si>
  <si>
    <t xml:space="preserve">The fact that observations are a good start to tell that water is safe for drinking but one needs to carry out tests to know the composition of the contaminants in the water </t>
  </si>
  <si>
    <t xml:space="preserve">Everything was beautiful l loved it </t>
  </si>
  <si>
    <t>The module explained how water can be known that it is good for use. Because it might sometimes be clear but not good for use. The module generally showed why water should be tested to see if it’s safe even when it’s clear.</t>
  </si>
  <si>
    <t xml:space="preserve">The water parameters and contaminants </t>
  </si>
  <si>
    <t xml:space="preserve">Schedule </t>
  </si>
  <si>
    <t>It was interesting getting to know the different parameters and contaminants basing on their origin and effects</t>
  </si>
  <si>
    <t>Parameters and contaminants</t>
  </si>
  <si>
    <t>everything was good</t>
  </si>
  <si>
    <t xml:space="preserve">It was well explained and engaging </t>
  </si>
  <si>
    <t xml:space="preserve">It's core  in water quality testing </t>
  </si>
  <si>
    <t xml:space="preserve">Unit conversion </t>
  </si>
  <si>
    <t>Brought out full understanding of the topic</t>
  </si>
  <si>
    <t>Quality standards</t>
  </si>
  <si>
    <t>Other parameters</t>
  </si>
  <si>
    <t xml:space="preserve">I know how effects of different parameters in drinking water and how they affect our health </t>
  </si>
  <si>
    <t xml:space="preserve">Knowing the effects of different parameters on our health </t>
  </si>
  <si>
    <t xml:space="preserve">No where </t>
  </si>
  <si>
    <t xml:space="preserve">The module was really interesting,  content was wonderfully delivered.  It was the best so far. </t>
  </si>
  <si>
    <t xml:space="preserve">It's a back bone of water quality </t>
  </si>
  <si>
    <t>Time allocated for group assignments,  this would help in proper getting of concepts</t>
  </si>
  <si>
    <t xml:space="preserve">The topics were very understandable </t>
  </si>
  <si>
    <t>Understanding the various contaminants of water.</t>
  </si>
  <si>
    <t xml:space="preserve">Time management </t>
  </si>
  <si>
    <t xml:space="preserve">It was so elaborate and insightful </t>
  </si>
  <si>
    <t xml:space="preserve">Identifying contaminants and their sources in the things that are around us like plastic bottles </t>
  </si>
  <si>
    <t xml:space="preserve">The mode of checking for fellows understanding in class; if some physical outdoor activities would be added it would be great </t>
  </si>
  <si>
    <t xml:space="preserve">      The module provided a comprehensive understanding of drinking water quality parameters, including their origins, health impacts, and standards. The combination of theoretical knowledge, practical activities, and real-world applications made the learning experience engaging and relevant. It also effectively covered physical, chemical, and microbiological contaminants, equipping me with valuable skills for water quality assessment and testing.</t>
  </si>
  <si>
    <t xml:space="preserve">    The module equipped students with problem solving and critical thinking skills through learning how to assess contamination risks and propose solutions.
     It emphasizes the importance of clean water in achieving SDG 6 (Clean Water and Sanitation), making it valuable for future careers in water management and environmental engineering.</t>
  </si>
  <si>
    <t xml:space="preserve">      More hands on activities should be done like fieldwork and real world water testing 
       More details should be included on pollutants like PFAs and microplastics to expand coverage of emerging contaminants.</t>
  </si>
  <si>
    <t>The module delivery was clear and interlinked to the previous modules which made it easier to understand everything during the session.</t>
  </si>
  <si>
    <t>Illustrations made for the module content for example the use of info graphs and so on</t>
  </si>
  <si>
    <t xml:space="preserve">Nothing much that needs so. </t>
  </si>
  <si>
    <t xml:space="preserve">Because l got to know about the different types of parameters </t>
  </si>
  <si>
    <t xml:space="preserve">Different forms of parameters and how they affect water quality </t>
  </si>
  <si>
    <t xml:space="preserve">The time allocated for delivering the whole module was abit small </t>
  </si>
  <si>
    <t>Module 5 - Data Analysis</t>
  </si>
  <si>
    <t>"I was very satisfied with this module because:
The content was logically structured, making complex topics easy to follow.
The real-world case studies helped me apply theory to practical scenarios.
The instructor provided timely and constructive feedback on assignments."</t>
  </si>
  <si>
    <t xml:space="preserve">It is very good because 
This module addressed exactly what I wanted to learn."
</t>
  </si>
  <si>
    <t>It was very satisfied for me</t>
  </si>
  <si>
    <t>The module was required computer skill that was gard for us but we achieved by internet (youtube, google).</t>
  </si>
  <si>
    <t xml:space="preserve">No </t>
  </si>
  <si>
    <t>most part of training was practical and interactive form ,so that was interesting</t>
  </si>
  <si>
    <t>not only a theory also includes practical training</t>
  </si>
  <si>
    <t>the training was practical and introduce us to R for data analysis.</t>
  </si>
  <si>
    <t>practical oriented and easy for beginner  to understand</t>
  </si>
  <si>
    <t xml:space="preserve">It's well organized and easy to understand </t>
  </si>
  <si>
    <t>All are good 👍</t>
  </si>
  <si>
    <t>To know the basics of R program</t>
  </si>
  <si>
    <t>To kow the impact(infection) of water based on R program</t>
  </si>
  <si>
    <t>Rural area</t>
  </si>
  <si>
    <t xml:space="preserve">The module fully exhausted the water treatment processes,  both at public level and household level,  and also explained the water safety plans to maximum </t>
  </si>
  <si>
    <t xml:space="preserve">The practical sessions on jar test and chlorine dose </t>
  </si>
  <si>
    <t>More practical sessions on all the stages</t>
  </si>
  <si>
    <t xml:space="preserve">I understood </t>
  </si>
  <si>
    <t xml:space="preserve">Relevance </t>
  </si>
  <si>
    <t>Slides should be less</t>
  </si>
  <si>
    <t xml:space="preserve">The module was lengthy </t>
  </si>
  <si>
    <t>The practicals</t>
  </si>
  <si>
    <t xml:space="preserve">The time of delivery should be reduced </t>
  </si>
  <si>
    <t xml:space="preserve">The module was executed in depth </t>
  </si>
  <si>
    <t xml:space="preserve">It explained water treatment in depth </t>
  </si>
  <si>
    <t xml:space="preserve">The schedule </t>
  </si>
  <si>
    <t xml:space="preserve">The module was explained well and fully assessed after every topic </t>
  </si>
  <si>
    <t xml:space="preserve">Water treatment procedure and House hold water treatment </t>
  </si>
  <si>
    <t>The module was well conducted by both the lecturers who took us through.</t>
  </si>
  <si>
    <t>It well explained the water treatment processes and the HWTS</t>
  </si>
  <si>
    <t xml:space="preserve">The time of delivery, it was Abit bulky. Then the test time was Abit short for proper preparation </t>
  </si>
  <si>
    <t xml:space="preserve">Clearly brought out understanding water treatment process and importance water of water safety plans </t>
  </si>
  <si>
    <t>The practical aspects in coagulant dosing and chlorine dosing</t>
  </si>
  <si>
    <t>Nothing I can think of</t>
  </si>
  <si>
    <t xml:space="preserve">This module elaborated clearly the major water treatment processes and water safety plans which are crucial for water quality testing </t>
  </si>
  <si>
    <t xml:space="preserve">Jar test and chlorination practical </t>
  </si>
  <si>
    <t xml:space="preserve">More emphasis on affordable and sustainable  household water treatment </t>
  </si>
  <si>
    <t>It has given me an insight about water treatment process and the water safety plans that can be done</t>
  </si>
  <si>
    <t>Safety water plans</t>
  </si>
  <si>
    <t>All was good</t>
  </si>
  <si>
    <t>The lessons were efficiently delivered and the instructors made sure that everyone understood</t>
  </si>
  <si>
    <t xml:space="preserve">Understanding water treatment processes and how they are applied in the field </t>
  </si>
  <si>
    <t xml:space="preserve">Everything is good </t>
  </si>
  <si>
    <t xml:space="preserve">Everything was explained to detail </t>
  </si>
  <si>
    <t xml:space="preserve">Water treatment processes </t>
  </si>
  <si>
    <t>Everything is ok</t>
  </si>
  <si>
    <t xml:space="preserve">I got to appreciate the importance of water safety plans. 
</t>
  </si>
  <si>
    <t>The slides were inch point perfect. The explanations were direct especially the term 'risk'</t>
  </si>
  <si>
    <t>We could have more breaks withing the session.</t>
  </si>
  <si>
    <t xml:space="preserve">Having studied this module I totally understand the process of water treatment </t>
  </si>
  <si>
    <t xml:space="preserve">Water treatment process </t>
  </si>
  <si>
    <t xml:space="preserve">The module showed me different things says water can be treated on a local scale </t>
  </si>
  <si>
    <t xml:space="preserve">Treatment of water </t>
  </si>
  <si>
    <t xml:space="preserve">The time allocated to the module </t>
  </si>
  <si>
    <t xml:space="preserve">The session was so practical </t>
  </si>
  <si>
    <t xml:space="preserve">Well researched explanations, tailored lectures with hands on sessions and practicals, invitation of field professionals for deeper insights, it offers practical knowledge that can be applied in our day to day life </t>
  </si>
  <si>
    <t>This module was kinda huge in details so if you can consider to give it much more time, the better…</t>
  </si>
  <si>
    <t>The concept was explained very well</t>
  </si>
  <si>
    <t>The practical part of it</t>
  </si>
  <si>
    <t>Everything was okay</t>
  </si>
  <si>
    <t>The lecturers gave in their time to explain the slides very well and the practicals we did were very insightful.</t>
  </si>
  <si>
    <t>The practicals we did with our instructors gave us a practical knowledge of what we were going to do in the laboratory.</t>
  </si>
  <si>
    <t>Nothing, everything went well.</t>
  </si>
  <si>
    <t>It was illustrated very well</t>
  </si>
  <si>
    <t>When I can do it practically  myself</t>
  </si>
  <si>
    <t>This module helped to understand the procedures or methods one can use to mater drinking water safe especially at the household level which could be of great use at our home places</t>
  </si>
  <si>
    <t>Water safety plans</t>
  </si>
  <si>
    <t xml:space="preserve">It had a lot of practicals making it easy to remember </t>
  </si>
  <si>
    <t>Treatment processes of water</t>
  </si>
  <si>
    <t xml:space="preserve">More time should be assigned to practicals for us all to engage </t>
  </si>
  <si>
    <t>Properly understood the process of water treatment</t>
  </si>
  <si>
    <t>Water treatment process, household methods of water treatment and safe storage, and the water  safety plan.</t>
  </si>
  <si>
    <t>More time is needed.</t>
  </si>
  <si>
    <t>The module covered every detail of how water is treated to make it safe for human consumption both on a large scale and at a household level and it also included the water safety plan systems which are very crucial for human health.</t>
  </si>
  <si>
    <t xml:space="preserve">-  It thoroughly addresses the entire water treatment process from preliminary steps (screening, aeration) to advanced treatment (filtration, disinfection) which gives a complete picture of how raw water is made safe for drinking.
-  It doesn’t just focus on large-scale treatment plants, it also includes household water treatment systems like biosand filters, boiling, and ceramic filters which is a huge plus for students working in rural or resource-limited contexts.
</t>
  </si>
  <si>
    <t>I think all areas in the module were well covered. The schedule, the instructions and mode of delivery were good enough.</t>
  </si>
  <si>
    <t xml:space="preserve">Sufficiently taught </t>
  </si>
  <si>
    <t xml:space="preserve">Well informed </t>
  </si>
  <si>
    <t>Time</t>
  </si>
  <si>
    <t>I missed the last session due to 3rd year project engagements and assignments for my normal academic course</t>
  </si>
  <si>
    <t xml:space="preserve">It tackled the key aspects of water treatment and how to effectively manage risks associated with water safety </t>
  </si>
  <si>
    <t>Nill</t>
  </si>
  <si>
    <t xml:space="preserve">The practical sessions helped to better my understanding </t>
  </si>
  <si>
    <t xml:space="preserve">The practicals </t>
  </si>
  <si>
    <t>I understood the practical well</t>
  </si>
  <si>
    <t xml:space="preserve">The practical </t>
  </si>
  <si>
    <t xml:space="preserve">I understood the practicals and the theory what a concept the instructor from national water was the best  </t>
  </si>
  <si>
    <t xml:space="preserve">The delivery of the slides more videos to illustrate 
And more time should be allocated </t>
  </si>
  <si>
    <t xml:space="preserve">I understood everything to the maximum </t>
  </si>
  <si>
    <t xml:space="preserve">not so complicated </t>
  </si>
  <si>
    <t>The module gives me more information about water treatment. Im now different from a lay man. Also the hands on sessions so far are extremely satisfying.</t>
  </si>
  <si>
    <t>Attacks crucial points</t>
  </si>
  <si>
    <t>i think students need to learn how to design a simple water treatment system say abio layer filtering system.</t>
  </si>
  <si>
    <t>very detailed</t>
  </si>
  <si>
    <t>emphasis in ptacticality</t>
  </si>
  <si>
    <t xml:space="preserve">Very practical and well delivered </t>
  </si>
  <si>
    <t xml:space="preserve">Practical experience </t>
  </si>
  <si>
    <t xml:space="preserve">Everything looks good </t>
  </si>
  <si>
    <t>It has given me the overall insights and also provided a practical approach of testing each of the parameters and the commonly used methods</t>
  </si>
  <si>
    <t>The exposure to the real time testing of the different parameters of water</t>
  </si>
  <si>
    <t>To my side everything is well organized</t>
  </si>
  <si>
    <t>Properly understood the content of the module and applied it practically in sampling, physical-chemical testing and microbial testing among others.</t>
  </si>
  <si>
    <t xml:space="preserve">The different methods of testing for the different water parameters and also the quality control and quality assurance coupled with the safety precautions both im the field and in the laboratory </t>
  </si>
  <si>
    <t xml:space="preserve">Everything was all perfect </t>
  </si>
  <si>
    <t xml:space="preserve">I understood all the techniques and precautions to be taken
</t>
  </si>
  <si>
    <t>The practical sessions.</t>
  </si>
  <si>
    <t>Nothing much</t>
  </si>
  <si>
    <t xml:space="preserve">Exposure to practical sessions </t>
  </si>
  <si>
    <t xml:space="preserve">The module involved many practical sessions which made it interesting </t>
  </si>
  <si>
    <t xml:space="preserve">It's the backbone of water quality testing </t>
  </si>
  <si>
    <t xml:space="preserve">It should be given more time,  since it has all that is needed in water quality testing </t>
  </si>
  <si>
    <t xml:space="preserve">Extensively covered with more practical sessions </t>
  </si>
  <si>
    <t xml:space="preserve">Highly practical and emphasis on QA/QC </t>
  </si>
  <si>
    <t xml:space="preserve">Nothing I can think of, module was well delivered </t>
  </si>
  <si>
    <t xml:space="preserve">It has helped to identify the different analytical method for testing different water parameters </t>
  </si>
  <si>
    <t xml:space="preserve">Analytical method </t>
  </si>
  <si>
    <t xml:space="preserve">Module was well explained </t>
  </si>
  <si>
    <t xml:space="preserve">The sampling and lab testing </t>
  </si>
  <si>
    <t xml:space="preserve">Time for the module </t>
  </si>
  <si>
    <t xml:space="preserve">Sampling </t>
  </si>
  <si>
    <t>Reduce times of work</t>
  </si>
  <si>
    <t xml:space="preserve">I understood everything in the module </t>
  </si>
  <si>
    <t xml:space="preserve">Provides critical steps on collecting, analyzing and conclusions of various samples </t>
  </si>
  <si>
    <t xml:space="preserve">Increase the module time </t>
  </si>
  <si>
    <t xml:space="preserve">The content was very well delivered.
The practical part made it interesting </t>
  </si>
  <si>
    <t xml:space="preserve">Practical part </t>
  </si>
  <si>
    <t xml:space="preserve">Everything good </t>
  </si>
  <si>
    <t>Theory accompanied by exposure to field activities and practical sessions make the learning process and grasping of knowledge easier plus the fellowship interactions including games that keeps one physically and mentally active.</t>
  </si>
  <si>
    <t>It has been conducted in a favorable period where students could actively and fully engage in the water quality analysis i.e. with little worry of the normal academic activities (academic stress)
The content and the instructors were precise and concise in delivery for one to easily understand.
The infographics and the video tutorials enhanced the learning process.
The practical sessions clearly reflected on the theoretical knowledge.</t>
  </si>
  <si>
    <t xml:space="preserve">The module was well defined and explained very well to the detail </t>
  </si>
  <si>
    <t xml:space="preserve">They gave the module time to deliver everything and was also more practical </t>
  </si>
  <si>
    <t>Every part of this module was really interesting</t>
  </si>
  <si>
    <t xml:space="preserve">The lab work </t>
  </si>
  <si>
    <t>Maybe the time with practicals</t>
  </si>
  <si>
    <t xml:space="preserve">It was well presented and assessed </t>
  </si>
  <si>
    <t xml:space="preserve">Physical - chemical testing </t>
  </si>
  <si>
    <t>I gained more skills</t>
  </si>
  <si>
    <t xml:space="preserve">it's well organized </t>
  </si>
  <si>
    <t>When all concepts are at the fingure tip</t>
  </si>
  <si>
    <t>All concepts are clear</t>
  </si>
  <si>
    <t xml:space="preserve">The one on one interaction with lecture and course content was satisfying </t>
  </si>
  <si>
    <t xml:space="preserve">The student Lecturer interaction ro making one understand </t>
  </si>
  <si>
    <t>All is well</t>
  </si>
  <si>
    <t>It was nice</t>
  </si>
  <si>
    <t>Practicals</t>
  </si>
  <si>
    <t>Time of module should be increased</t>
  </si>
  <si>
    <t xml:space="preserve">The practical bit makes a lot of sense after so much theory </t>
  </si>
  <si>
    <t>I remained with the practical skill that I can earn from</t>
  </si>
  <si>
    <t xml:space="preserve">The analytical methods specifically the presence or absence methods were not so clear </t>
  </si>
  <si>
    <t xml:space="preserve">This was a brilliant introduction to water quality </t>
  </si>
  <si>
    <t>It sets a firm foundation for the other future modules</t>
  </si>
  <si>
    <t>More detail on why we really have to check our water quality.</t>
  </si>
  <si>
    <t>Now I know the cause of some sicknesses</t>
  </si>
  <si>
    <t xml:space="preserve">It is very educative, information my brain will keep for a long time </t>
  </si>
  <si>
    <t>The images, how does a helminth even look like?</t>
  </si>
  <si>
    <t xml:space="preserve">Have been able to internalize every aspect in the module </t>
  </si>
  <si>
    <t>The module clearly shows a roadmap for what is going to be done(Background)</t>
  </si>
  <si>
    <t xml:space="preserve">Possibly increasing the learning time </t>
  </si>
  <si>
    <t>The module explained water composition,  AMD the reasons as to why we care about water quality,  this opened up my minds on water quality</t>
  </si>
  <si>
    <t>The activities that were done really brought out a picture of the covered theoretical part</t>
  </si>
  <si>
    <t>The schedule,  the module content was a lot,  it would be better if it's given some more time since its an opening module</t>
  </si>
  <si>
    <t xml:space="preserve">As of engineering background,  the module had very many new terms which made it harder for me to easily grasp </t>
  </si>
  <si>
    <t>The module instructor was awesome</t>
  </si>
  <si>
    <t xml:space="preserve">More activities should be incorporated in for easy and quick understanding </t>
  </si>
  <si>
    <t xml:space="preserve">Was able to know various health impacts resulting from water quality. </t>
  </si>
  <si>
    <t xml:space="preserve">Various diseases resulting from untreated or unsafe drinking water </t>
  </si>
  <si>
    <t>Not really I was satisfied with all the areas of the module</t>
  </si>
  <si>
    <t xml:space="preserve">This module helped me identify the different sources of water  and it also helped me appreciate the quality of water taken by people in different regions </t>
  </si>
  <si>
    <t xml:space="preserve">The quality of water supplied to different group of people supplied through different sources </t>
  </si>
  <si>
    <t xml:space="preserve">Hopefully everything was clear and understandable </t>
  </si>
  <si>
    <t>It had lots of practicals in form of field work and lab work</t>
  </si>
  <si>
    <t xml:space="preserve">The way it’s content is structured and packaged, enabled me to understand it better
The delivery was just on point, I really liked it </t>
  </si>
  <si>
    <t>This was just okay</t>
  </si>
  <si>
    <t xml:space="preserve">I understood the concept to the dot.
It was eye opening </t>
  </si>
  <si>
    <t>When I can remember 60% of the work taught in the previous lecture without going through it</t>
  </si>
  <si>
    <t>I understood all the effects of contaminants to human health off headq</t>
  </si>
  <si>
    <t xml:space="preserve">When I can easily answer the questions about the module </t>
  </si>
  <si>
    <t>Its perfect</t>
  </si>
  <si>
    <t xml:space="preserve">I learnt a lot like the parameters, contaminants in-terms of types and sources which knowledge im using </t>
  </si>
  <si>
    <t xml:space="preserve">Clear explanations, class activities that fully engaging everyone </t>
  </si>
  <si>
    <t>It was okay</t>
  </si>
  <si>
    <t>The module gave a good introduction to water quality testing</t>
  </si>
  <si>
    <t>Easy to understand, use of activities to test understanding enhancing knowledge attainment.</t>
  </si>
  <si>
    <t>All good.</t>
  </si>
  <si>
    <t>It gave me an understanding of the types of water contaminants and how we can easily tell when water is safe for drinking. 
It also exposed me to the standards of the different parameters that are used in water for drinking</t>
  </si>
  <si>
    <t>My exposure to water service ladder that can allow anticipate the quality of water in the community</t>
  </si>
  <si>
    <t>I think the module was well structured</t>
  </si>
  <si>
    <t>I was about to learn about the origin of water supply, the contaminants, why the quality of water matter and the different SDG’s.</t>
  </si>
  <si>
    <t>Clear and well-structured lectures or materials
	•	Engaging teaching methods (e.g., group work, case studies)
	•	Practical relevance to your field (e.g., real-world examples, lab sessions)
	•	Support from the lecturer or tutor
	•	Good use of online resources or technology
	•	Opportunities to interact, discuss, or ask questions
	•	Effective assessment methods that helped you understand the content</t>
  </si>
  <si>
    <t xml:space="preserve">The delivery time </t>
  </si>
  <si>
    <t>Lecturers were knowledgeable about the topics and delivered quality.</t>
  </si>
  <si>
    <t>Referral to more reading material for students that want to get deeper into the topics.</t>
  </si>
  <si>
    <t>It exposed me to the different types of diseases that are associated with drinking water quality and how to quantify the burden of a given disease to a person with his/her overall performance</t>
  </si>
  <si>
    <t>DALY  aspect was very useful</t>
  </si>
  <si>
    <t>The module was well structured</t>
  </si>
  <si>
    <t>It was my first time to know about the DALY and how to calculate it, I got a clear understanding that when we speak of effects of a disease, we not only look at death but also the period it reduces your effectiveness to work</t>
  </si>
  <si>
    <t xml:space="preserve">Well arranged flow of the work, and the delivery was perfect </t>
  </si>
  <si>
    <t>Given the magnitude and importance of it’s content, i think we can consider increasing its contact hours</t>
  </si>
  <si>
    <t>It was able to introduce me to various contaminants which makes our drinking unsafe for use</t>
  </si>
  <si>
    <t xml:space="preserve">How water sources get contaminated and the sources of contamination </t>
  </si>
  <si>
    <t xml:space="preserve">It was taught clearly </t>
  </si>
  <si>
    <t xml:space="preserve">Everything was really important </t>
  </si>
  <si>
    <t>It gave us a good introduction about our fellowship programme</t>
  </si>
  <si>
    <t>The PowerPoint slides were best explained.</t>
  </si>
  <si>
    <t xml:space="preserve">Nothing surely </t>
  </si>
  <si>
    <t xml:space="preserve">The more details the instructor give about the different types of contaminants was extremely helpful and exciting </t>
  </si>
  <si>
    <t xml:space="preserve">The metric for health impact </t>
  </si>
  <si>
    <t xml:space="preserve">The instructors explained the content every well </t>
  </si>
  <si>
    <t xml:space="preserve">It gave us the health impacts concerning WASH related issues </t>
  </si>
  <si>
    <t xml:space="preserve">The module was efficiently delivered and it was engaging </t>
  </si>
  <si>
    <t xml:space="preserve">It emphasises group work </t>
  </si>
  <si>
    <t xml:space="preserve">It was well presented </t>
  </si>
  <si>
    <t>The different water sources and how to identify them</t>
  </si>
  <si>
    <t xml:space="preserve">The module was well organized and emphasized group work </t>
  </si>
  <si>
    <t xml:space="preserve">Effective communication and presentation plus the understanding the health implications of drinking unsafe water </t>
  </si>
  <si>
    <t xml:space="preserve">The module was efficiently delivered </t>
  </si>
  <si>
    <t xml:space="preserve">It gave a good introduction about what is to be expected about drinking water quality </t>
  </si>
  <si>
    <t xml:space="preserve">Explained the content very well </t>
  </si>
  <si>
    <t xml:space="preserve">Time was a bit less for the whole module </t>
  </si>
  <si>
    <t>Graduate student</t>
  </si>
  <si>
    <t xml:space="preserve">It was well presented to us </t>
  </si>
  <si>
    <t xml:space="preserve">The quality of drinking water </t>
  </si>
  <si>
    <t xml:space="preserve">Am really satisfied with everything </t>
  </si>
  <si>
    <t xml:space="preserve">The module content was organised  based on a daily basis,  each day having it's specific slides (presentations) which made it  easy for us to choose and read the module contents without confusion.
The module also covered  all the analytical methods for testing drinking water for both the physical-chemical and the microbial </t>
  </si>
  <si>
    <t xml:space="preserve">The practical sessions of the module that we carried out after learning the theoretical content </t>
  </si>
  <si>
    <t xml:space="preserve">The schedule (time management) while delivering the theoretical content since sitting in one place for long can lead to exhaustion </t>
  </si>
  <si>
    <t xml:space="preserve">Brought more light to my insights on health impacts of poor water quality </t>
  </si>
  <si>
    <t xml:space="preserve">Presentations of the module </t>
  </si>
  <si>
    <t xml:space="preserve">Introduction was engaging </t>
  </si>
  <si>
    <t xml:space="preserve">Well explained notes </t>
  </si>
  <si>
    <t xml:space="preserve">All are perfect </t>
  </si>
  <si>
    <t>Brought out a clear understanding of water quality</t>
  </si>
  <si>
    <t xml:space="preserve"> Introduced the need for water quality testing and monitoring </t>
  </si>
  <si>
    <t>Understood the effects poor water quality to individuals and communities</t>
  </si>
  <si>
    <t>Disease burden and DALYs</t>
  </si>
  <si>
    <t>All was good with the module</t>
  </si>
  <si>
    <t>The module was well structured, slides were clear with infographics and easily understood. The instructors were audible and informing.</t>
  </si>
  <si>
    <t>The systematic arrangements of the slide incorporating all appropriate introductory and insightful key points.</t>
  </si>
  <si>
    <t>I request that reference materials be provided in the last slide for one to do thorough reading and research.</t>
  </si>
  <si>
    <t>There was coherence of this module with first module make it easy to relate the knowledge of water quality aspects and so on.</t>
  </si>
  <si>
    <t>It's coherence, the clarity of the instructors in delivering the message to learners (trainees).</t>
  </si>
  <si>
    <t>The slides could be split into two or three different powerpoint presentations such that number doesn't frighten the learners (readers) before they could attempt to read the material.</t>
  </si>
  <si>
    <t xml:space="preserve">Knowledge on water safety </t>
  </si>
  <si>
    <t xml:space="preserve">Practical sessions </t>
  </si>
  <si>
    <t xml:space="preserve">Got to know how dangerous it is to have poor water quality </t>
  </si>
  <si>
    <t xml:space="preserve">More activities </t>
  </si>
  <si>
    <t>The mode of delivery</t>
  </si>
  <si>
    <t>Increase time of the module</t>
  </si>
  <si>
    <t>Mode of delivery</t>
  </si>
  <si>
    <t>The module covered important topics clearly but some sections were too technical, making them a little bit harder to follow.</t>
  </si>
  <si>
    <t>The comprehensive coverage of water-related health risks, effective use of real world data and examples and the integration useful frameworks like DALYs and WASH interventions.</t>
  </si>
  <si>
    <t xml:space="preserve">- The section on DALY calculations could be simplified a bit as it was  quite technical. 
- The part on chemical contaminants had a lot of detail which made it </t>
  </si>
  <si>
    <t xml:space="preserve">Course content </t>
  </si>
  <si>
    <t xml:space="preserve">It's impact to resourcefulness </t>
  </si>
  <si>
    <t>All were okay</t>
  </si>
  <si>
    <t xml:space="preserve">The content was explained properly and demonstrated well with videos </t>
  </si>
  <si>
    <t xml:space="preserve">The solutions of providing safe drinking water to everyone in the country by First getting acquainted with what is in the water </t>
  </si>
  <si>
    <t xml:space="preserve">More videos </t>
  </si>
  <si>
    <t xml:space="preserve">Good delivery </t>
  </si>
  <si>
    <t xml:space="preserve">Observation can be a good start to tell that water is good for drinking but it's safer to test for health reasons </t>
  </si>
  <si>
    <t xml:space="preserve">Everything was clear maybe more of the practical sessions </t>
  </si>
  <si>
    <t>The lecturers' mode of delivery of the contents.</t>
  </si>
  <si>
    <t xml:space="preserve">Everything was fine </t>
  </si>
  <si>
    <t xml:space="preserve">Real world examples </t>
  </si>
  <si>
    <t>The schedule</t>
  </si>
  <si>
    <t xml:space="preserve">It was explained well </t>
  </si>
  <si>
    <t xml:space="preserve">It’s the well explanation made </t>
  </si>
  <si>
    <t xml:space="preserve">It was well explained </t>
  </si>
  <si>
    <t xml:space="preserve">The explanations made </t>
  </si>
  <si>
    <t xml:space="preserve">It was well presented with details and also assessed </t>
  </si>
  <si>
    <t>It was practical</t>
  </si>
  <si>
    <t xml:space="preserve">I understand health impacts of drinking water quality </t>
  </si>
  <si>
    <t>the outcomes of drinking poor quality water</t>
  </si>
  <si>
    <t xml:space="preserve">All areas are aligned very well that's my submission </t>
  </si>
  <si>
    <t xml:space="preserve">I understood what safe sampling is having practiced often </t>
  </si>
  <si>
    <t xml:space="preserve">Safe sampling methods </t>
  </si>
  <si>
    <t xml:space="preserve">Generally it was good especially the time that this module was given </t>
  </si>
  <si>
    <t xml:space="preserve">The module wasn't so hard but the content was kinda a lot for the time allocated to it </t>
  </si>
  <si>
    <t xml:space="preserve">Explained the content well </t>
  </si>
  <si>
    <t>The module was kind of over loaded for the time allocated to it</t>
  </si>
  <si>
    <t>Related to my field of study</t>
  </si>
  <si>
    <t xml:space="preserve">The time allocation </t>
  </si>
  <si>
    <t xml:space="preserve">well explained </t>
  </si>
  <si>
    <t>slides</t>
  </si>
  <si>
    <t>Themodule was very informative and since i want to continue with a carrier in water treatment it was very helpful</t>
  </si>
  <si>
    <t>Practicallity</t>
  </si>
  <si>
    <t xml:space="preserve">The module was very practical </t>
  </si>
  <si>
    <t>Very practical</t>
  </si>
  <si>
    <t xml:space="preserve">Module was sufficiently explained </t>
  </si>
  <si>
    <t xml:space="preserve">The topics were very relevant </t>
  </si>
  <si>
    <t xml:space="preserve">The module was well explained </t>
  </si>
  <si>
    <t>Relevancy of the module to my life</t>
  </si>
  <si>
    <t>Overall good</t>
  </si>
  <si>
    <t>Very well organised and clearly understandable module</t>
  </si>
  <si>
    <t>It was delivered in a complete manner to the way we understand and practice codes easily.</t>
  </si>
  <si>
    <t>Presenting codes to the way we understand</t>
  </si>
  <si>
    <t xml:space="preserve">Noting , it is enough </t>
  </si>
  <si>
    <t>It was well structured and delivered in a clear and effective way which made it easier to follow and understand the material.</t>
  </si>
  <si>
    <t>Well structured and delivered in very understandable way</t>
  </si>
  <si>
    <t>All they’re good</t>
  </si>
  <si>
    <t>The organization</t>
  </si>
  <si>
    <t>all are good</t>
  </si>
  <si>
    <t xml:space="preserve">Learning about programming languages </t>
  </si>
  <si>
    <t xml:space="preserve">Brief introduction to R. Programming/ coding techniques </t>
  </si>
  <si>
    <t>It gives working activity in each topics</t>
  </si>
  <si>
    <t>i have some understanding about that</t>
  </si>
  <si>
    <t>nice</t>
  </si>
  <si>
    <t>I have some understanding about that</t>
  </si>
  <si>
    <t xml:space="preserve">medium </t>
  </si>
  <si>
    <t>I have some understanding  about this module</t>
  </si>
  <si>
    <t>midum</t>
  </si>
  <si>
    <t>learnt a new skill uses in a variety of sectors</t>
  </si>
  <si>
    <t xml:space="preserve">practicality </t>
  </si>
  <si>
    <t xml:space="preserve">time allocted should be increased </t>
  </si>
  <si>
    <t xml:space="preserve">The was well handled </t>
  </si>
  <si>
    <t>Working with data sets both in R and excel</t>
  </si>
  <si>
    <t xml:space="preserve">Module was fully explained </t>
  </si>
  <si>
    <t xml:space="preserve">The use of R software which was properly explained </t>
  </si>
  <si>
    <t xml:space="preserve">Provision of laptops to some students in order to access R software </t>
  </si>
  <si>
    <t xml:space="preserve">Am confident to do any research which involves use of R programing language to do data cleaning and analysis </t>
  </si>
  <si>
    <t xml:space="preserve">Time scheduled for this module should be increased </t>
  </si>
  <si>
    <t xml:space="preserve">Required extreme attention </t>
  </si>
  <si>
    <t>How to analyze data</t>
  </si>
  <si>
    <t xml:space="preserve">This is because we were able to learn and interact in groups </t>
  </si>
  <si>
    <t xml:space="preserve">Discussions made </t>
  </si>
  <si>
    <t xml:space="preserve">The time allocated </t>
  </si>
  <si>
    <t xml:space="preserve">- It's a practical module and each  lecture was immediately followed by an activity 
- The group and pair activities promote teamwork and peer learning 
- It also uses real-world survey data </t>
  </si>
  <si>
    <t xml:space="preserve">- There was limited time for deeper exploration of some topics like hypothesis testing 
- The interpretation of results for decision making could be emphasized more 
- The learning schedule for the module could also be adjusted a little bit,  it can atleast be given a full week instead of just a few learning days
</t>
  </si>
  <si>
    <t>Understood how the Rsoftware works</t>
  </si>
  <si>
    <t xml:space="preserve">The practical sessions </t>
  </si>
  <si>
    <t xml:space="preserve">The final exercise </t>
  </si>
  <si>
    <t>A series of training sessions accompanied with video tutorials, quizzes and assignments were insightful and enriching in data analysis and visualization skills</t>
  </si>
  <si>
    <t>Video tutorials, practical sessions and assignments maintained fellows' sobriety during classroom sessions and made learning easy and sustainable</t>
  </si>
  <si>
    <t>Data analysis with RStudio programming need to be compared with other programming languages to diversify learning</t>
  </si>
  <si>
    <t>The module was well delivered in activities, tutorial videos and group work</t>
  </si>
  <si>
    <t xml:space="preserve">From programming with R to data cleaning with excel, then mWater portal: we really acquired data analysis skills. </t>
  </si>
  <si>
    <t>The module should be run for a bit more time, say one and a half weeks.</t>
  </si>
  <si>
    <t>It gave me an insight of how to clean cleaning, analysis and visualization</t>
  </si>
  <si>
    <t>Visualization of the data collected</t>
  </si>
  <si>
    <t xml:space="preserve">The codes in R studio were a bit challenging but once we merged heads things made sense.
</t>
  </si>
  <si>
    <t>It is one I can apply later in my research work
I learnt a lot about visualizations</t>
  </si>
  <si>
    <t>The time given to this course can be increased.
Also sending us home with the home work wasn't so helpful.
We could have stay on ground to to the work.</t>
  </si>
  <si>
    <t>Learnt foundations of R studio</t>
  </si>
  <si>
    <t xml:space="preserve">More time to practice together we had limited time </t>
  </si>
  <si>
    <t xml:space="preserve">It was given kinda short time </t>
  </si>
  <si>
    <t xml:space="preserve">It's more practical </t>
  </si>
  <si>
    <t xml:space="preserve">Time allocation </t>
  </si>
  <si>
    <t>I think a more narketable language with many chances of expansion should be used. Such as Python.</t>
  </si>
  <si>
    <t>Covers relevant topics.</t>
  </si>
  <si>
    <t>The language used for data analysis.</t>
  </si>
  <si>
    <t>I acquired skills and knowledge in data cleaning, how to use R-application,how to make a reports as well visuals like graph plotting etc</t>
  </si>
  <si>
    <t>Making reports and also analyzing the given data</t>
  </si>
  <si>
    <t xml:space="preserve">More class activities should be emphasized </t>
  </si>
  <si>
    <t xml:space="preserve">I gained clear understanding </t>
  </si>
  <si>
    <t xml:space="preserve">Usefulness in real world </t>
  </si>
  <si>
    <t>Time allocated for it</t>
  </si>
  <si>
    <t xml:space="preserve">it' was smooth and well inducted by module team leader </t>
  </si>
  <si>
    <t>he was good and approachable</t>
  </si>
  <si>
    <t>NA</t>
  </si>
  <si>
    <t xml:space="preserve">An important skill for a wide range of applications </t>
  </si>
  <si>
    <t xml:space="preserve">Using the R data analysis software </t>
  </si>
  <si>
    <t xml:space="preserve">It's so engaging that you gain hands on experience </t>
  </si>
  <si>
    <t xml:space="preserve">All was good </t>
  </si>
  <si>
    <t xml:space="preserve">I gained some knowledge </t>
  </si>
  <si>
    <t xml:space="preserve">Needs more time </t>
  </si>
  <si>
    <t xml:space="preserve">Time more videos </t>
  </si>
  <si>
    <t>i gained more skills on the practical part</t>
  </si>
  <si>
    <t>The module required to be allocated more time since it was Abit more practical.</t>
  </si>
  <si>
    <t xml:space="preserve">Exposed to data cleaning </t>
  </si>
  <si>
    <t xml:space="preserve">Time allocated to the module </t>
  </si>
  <si>
    <t>I learned alot</t>
  </si>
  <si>
    <t>The practical</t>
  </si>
  <si>
    <t xml:space="preserve">Time should be added </t>
  </si>
  <si>
    <t>It was very hard to grasp a new concept in four days</t>
  </si>
  <si>
    <t>When I can do the work on my own</t>
  </si>
  <si>
    <t>Time of teaching allocated should be two full weeks</t>
  </si>
  <si>
    <t xml:space="preserve">It was a very good experience learning R programming, and data cleaning was kinda challenging but generally i learnt alot from it </t>
  </si>
  <si>
    <t xml:space="preserve">The structure of this module gives students more time to practice what they learn with clear instructions of what to be done and the different possible ways of doing it </t>
  </si>
  <si>
    <t xml:space="preserve">Given that the programming language is new to some fellows, I think the introductory part of this module should be taught during semester weekend classes, so that when it is reintroduced in the time for data analysis, students ain’t understanding from scratch </t>
  </si>
  <si>
    <t>S No.</t>
  </si>
  <si>
    <t>Gender</t>
  </si>
  <si>
    <t>Department of study</t>
  </si>
  <si>
    <t xml:space="preserve">Study years </t>
  </si>
  <si>
    <t>Module 1</t>
  </si>
  <si>
    <t>Module 2</t>
  </si>
  <si>
    <t>Module 3</t>
  </si>
  <si>
    <t>Module 4</t>
  </si>
  <si>
    <t>Module 5</t>
  </si>
  <si>
    <t>Module 6</t>
  </si>
  <si>
    <t>5th</t>
  </si>
  <si>
    <t>4th</t>
  </si>
  <si>
    <t>S.No.</t>
  </si>
  <si>
    <t>Program</t>
  </si>
  <si>
    <t>Module 1 out of 20</t>
  </si>
  <si>
    <t>Module 2 out of 23</t>
  </si>
  <si>
    <t>Module 3 out of 57</t>
  </si>
  <si>
    <t>Module 4 out of 14</t>
  </si>
  <si>
    <t>BWIE III</t>
  </si>
  <si>
    <t>BWIE II</t>
  </si>
  <si>
    <t>BAGE III</t>
  </si>
  <si>
    <t>BCIV III</t>
  </si>
  <si>
    <t>BCIV II</t>
  </si>
  <si>
    <t>BWIE IIII</t>
  </si>
  <si>
    <t xml:space="preserve">Missed </t>
  </si>
  <si>
    <t>BAGE II</t>
  </si>
  <si>
    <t>BBPE II</t>
  </si>
  <si>
    <t>BICH II</t>
  </si>
  <si>
    <t>BICH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</si>
</sst>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0"/>
  </numFmts>
  <fonts count="16"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sz val="10"/>
      <color rgb="FF000000"/>
      <name val="Arial"/>
      <scheme val="minor"/>
    </font>
    <font>
      <b/>
      <sz val="11"/>
      <color theme="1"/>
      <name val="Arial"/>
      <family val="2"/>
      <scheme val="minor"/>
    </font>
    <font>
      <sz val="10"/>
      <color theme="1"/>
      <name val="Arial"/>
      <scheme val="minor"/>
    </font>
    <font>
      <b/>
      <sz val="10"/>
      <color theme="1"/>
      <name val="Arial"/>
    </font>
    <font>
      <sz val="10"/>
      <color theme="1"/>
      <name val="Arial"/>
    </font>
    <font>
      <sz val="10"/>
      <name val="Arial"/>
      <family val="2"/>
      <scheme val="minor"/>
    </font>
    <font>
      <b/>
      <sz val="12"/>
      <color rgb="FF000000"/>
      <name val="Arial"/>
      <family val="2"/>
      <scheme val="minor"/>
    </font>
    <font>
      <b/>
      <sz val="12"/>
      <color theme="1"/>
      <name val="Arial"/>
      <family val="2"/>
      <scheme val="minor"/>
    </font>
    <font>
      <sz val="12"/>
      <color rgb="FF000000"/>
      <name val="Arial"/>
      <family val="2"/>
      <scheme val="minor"/>
    </font>
    <font>
      <sz val="14"/>
      <color rgb="FF000000"/>
      <name val="Arial"/>
      <family val="2"/>
      <scheme val="minor"/>
    </font>
    <font>
      <sz val="12"/>
      <color theme="1"/>
      <name val="Arial"/>
      <family val="2"/>
      <scheme val="minor"/>
    </font>
    <font>
      <sz val="11"/>
      <name val="Arial"/>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7" tint="0.79998168889431442"/>
        <bgColor indexed="64"/>
      </patternFill>
    </fill>
    <fill>
      <patternFill patternType="solid">
        <fgColor rgb="FFFFFF99"/>
        <bgColor indexed="64"/>
      </patternFill>
    </fill>
  </fills>
  <borders count="14">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68">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0" fillId="2" borderId="0" xfId="0" applyFill="1"/>
    <xf numFmtId="0" fontId="6" fillId="0" borderId="0" xfId="0" applyFont="1"/>
    <xf numFmtId="164" fontId="6" fillId="0" borderId="0" xfId="0" applyNumberFormat="1" applyFont="1"/>
    <xf numFmtId="164" fontId="0" fillId="0" borderId="0" xfId="0" applyNumberFormat="1" applyBorder="1"/>
    <xf numFmtId="0" fontId="0" fillId="0" borderId="0" xfId="0" applyBorder="1"/>
    <xf numFmtId="0" fontId="6" fillId="3" borderId="0" xfId="0" applyFont="1" applyFill="1" applyBorder="1" applyAlignment="1">
      <alignment horizontal="left" vertical="center"/>
    </xf>
    <xf numFmtId="0" fontId="1" fillId="3" borderId="0" xfId="0" applyFont="1" applyFill="1" applyBorder="1" applyAlignment="1">
      <alignment horizontal="left" vertical="center"/>
    </xf>
    <xf numFmtId="164" fontId="6" fillId="0" borderId="0" xfId="0" applyNumberFormat="1" applyFont="1" applyBorder="1" applyAlignment="1">
      <alignment vertical="center"/>
    </xf>
    <xf numFmtId="0" fontId="6" fillId="0" borderId="0" xfId="0" applyFont="1" applyBorder="1" applyAlignment="1">
      <alignment vertical="center"/>
    </xf>
    <xf numFmtId="164" fontId="9" fillId="0" borderId="0" xfId="0" applyNumberFormat="1" applyFont="1" applyBorder="1" applyAlignment="1">
      <alignment vertical="center"/>
    </xf>
    <xf numFmtId="0" fontId="9" fillId="0" borderId="0" xfId="0" applyFont="1" applyBorder="1" applyAlignment="1">
      <alignment vertical="center"/>
    </xf>
    <xf numFmtId="0" fontId="10" fillId="4" borderId="13" xfId="0" applyFont="1" applyFill="1" applyBorder="1" applyAlignment="1">
      <alignment vertical="center"/>
    </xf>
    <xf numFmtId="0" fontId="11" fillId="4" borderId="13" xfId="0" applyFont="1" applyFill="1" applyBorder="1" applyAlignment="1">
      <alignment horizontal="left" vertical="center"/>
    </xf>
    <xf numFmtId="0" fontId="11" fillId="4" borderId="13" xfId="0" applyFont="1" applyFill="1" applyBorder="1" applyAlignment="1">
      <alignment horizontal="center" vertical="center"/>
    </xf>
    <xf numFmtId="16" fontId="10" fillId="0" borderId="0" xfId="0" applyNumberFormat="1" applyFont="1" applyAlignment="1">
      <alignment horizontal="center" vertical="center"/>
    </xf>
    <xf numFmtId="0" fontId="12" fillId="0" borderId="0" xfId="0" applyFont="1"/>
    <xf numFmtId="9" fontId="12" fillId="0" borderId="0" xfId="0" applyNumberFormat="1" applyFont="1"/>
    <xf numFmtId="0" fontId="13" fillId="0" borderId="13" xfId="0" applyFont="1" applyBorder="1" applyAlignment="1">
      <alignment horizontal="center" vertical="center"/>
    </xf>
    <xf numFmtId="0" fontId="14" fillId="0" borderId="13" xfId="0" applyFont="1" applyBorder="1" applyAlignment="1">
      <alignment vertical="center"/>
    </xf>
    <xf numFmtId="0" fontId="14" fillId="0" borderId="13" xfId="0" applyFont="1" applyBorder="1" applyAlignment="1">
      <alignment horizontal="center" vertical="center"/>
    </xf>
    <xf numFmtId="0" fontId="12" fillId="0" borderId="13" xfId="0" applyFont="1" applyBorder="1" applyAlignment="1">
      <alignment horizontal="center" vertical="center"/>
    </xf>
    <xf numFmtId="1" fontId="12" fillId="0" borderId="13" xfId="0" applyNumberFormat="1" applyFont="1" applyBorder="1" applyAlignment="1">
      <alignment horizontal="center" vertical="center"/>
    </xf>
    <xf numFmtId="1" fontId="12" fillId="0" borderId="0" xfId="0" applyNumberFormat="1" applyFont="1" applyAlignment="1">
      <alignment horizontal="center" vertical="center"/>
    </xf>
    <xf numFmtId="9" fontId="12" fillId="0" borderId="0" xfId="1" applyFont="1" applyAlignment="1">
      <alignment horizontal="center" vertical="center"/>
    </xf>
    <xf numFmtId="1" fontId="0" fillId="0" borderId="0" xfId="0" applyNumberFormat="1"/>
    <xf numFmtId="0" fontId="14" fillId="0" borderId="0" xfId="0" applyFont="1"/>
    <xf numFmtId="0" fontId="12" fillId="0" borderId="0" xfId="0" applyFont="1" applyAlignment="1">
      <alignment horizontal="center" vertical="center"/>
    </xf>
    <xf numFmtId="9" fontId="12" fillId="0" borderId="0" xfId="1" applyFont="1"/>
    <xf numFmtId="0" fontId="5" fillId="0" borderId="13" xfId="0" applyFont="1" applyBorder="1" applyAlignment="1">
      <alignment horizontal="center"/>
    </xf>
    <xf numFmtId="0" fontId="5" fillId="0" borderId="13" xfId="0" applyFont="1" applyBorder="1"/>
    <xf numFmtId="0" fontId="5" fillId="5" borderId="13" xfId="0" applyFont="1" applyFill="1" applyBorder="1" applyAlignment="1">
      <alignment horizontal="center" wrapText="1"/>
    </xf>
    <xf numFmtId="0" fontId="5" fillId="6" borderId="13" xfId="0" applyFont="1" applyFill="1" applyBorder="1" applyAlignment="1">
      <alignment wrapText="1"/>
    </xf>
    <xf numFmtId="0" fontId="5" fillId="7" borderId="13" xfId="0" applyFont="1" applyFill="1" applyBorder="1" applyAlignment="1">
      <alignment wrapText="1"/>
    </xf>
    <xf numFmtId="0" fontId="5" fillId="8" borderId="13" xfId="0" applyFont="1" applyFill="1" applyBorder="1" applyAlignment="1">
      <alignment wrapText="1"/>
    </xf>
    <xf numFmtId="0" fontId="5" fillId="0" borderId="0" xfId="0" applyFont="1"/>
    <xf numFmtId="0" fontId="0" fillId="0" borderId="13" xfId="0" applyBorder="1" applyAlignment="1">
      <alignment horizontal="center"/>
    </xf>
    <xf numFmtId="0" fontId="0" fillId="0" borderId="13" xfId="0" applyBorder="1"/>
    <xf numFmtId="0" fontId="0" fillId="5" borderId="13" xfId="0" applyFill="1" applyBorder="1" applyAlignment="1">
      <alignment horizontal="center"/>
    </xf>
    <xf numFmtId="0" fontId="0" fillId="6" borderId="13" xfId="0" applyFill="1" applyBorder="1" applyAlignment="1">
      <alignment horizontal="center"/>
    </xf>
    <xf numFmtId="0" fontId="0" fillId="7" borderId="13" xfId="0" applyFill="1" applyBorder="1" applyAlignment="1">
      <alignment horizontal="center"/>
    </xf>
    <xf numFmtId="0" fontId="0" fillId="8" borderId="13" xfId="0" applyFill="1" applyBorder="1" applyAlignment="1">
      <alignment horizontal="center"/>
    </xf>
    <xf numFmtId="0" fontId="0" fillId="9" borderId="13" xfId="0" applyFill="1" applyBorder="1" applyAlignment="1">
      <alignment horizontal="center"/>
    </xf>
    <xf numFmtId="0" fontId="0" fillId="9" borderId="13" xfId="0" applyFill="1" applyBorder="1"/>
    <xf numFmtId="0" fontId="15" fillId="0" borderId="13" xfId="0" applyFont="1" applyBorder="1" applyAlignment="1">
      <alignment horizontal="center"/>
    </xf>
    <xf numFmtId="0" fontId="15" fillId="0" borderId="13" xfId="0" applyFont="1" applyBorder="1"/>
    <xf numFmtId="0" fontId="15" fillId="5" borderId="13" xfId="0" applyFont="1" applyFill="1" applyBorder="1" applyAlignment="1">
      <alignment horizontal="center"/>
    </xf>
    <xf numFmtId="0" fontId="15" fillId="6" borderId="13" xfId="0" applyFont="1" applyFill="1" applyBorder="1" applyAlignment="1">
      <alignment horizontal="center"/>
    </xf>
    <xf numFmtId="0" fontId="15" fillId="7" borderId="13" xfId="0" applyFont="1" applyFill="1" applyBorder="1" applyAlignment="1">
      <alignment horizontal="center"/>
    </xf>
    <xf numFmtId="0" fontId="15" fillId="8" borderId="13" xfId="0" applyFont="1" applyFill="1" applyBorder="1" applyAlignment="1">
      <alignment horizontal="center"/>
    </xf>
    <xf numFmtId="0" fontId="5" fillId="5" borderId="13" xfId="0" applyFont="1" applyFill="1" applyBorder="1" applyAlignment="1">
      <alignment horizontal="center"/>
    </xf>
    <xf numFmtId="0" fontId="5" fillId="5" borderId="13" xfId="0" applyFont="1" applyFill="1" applyBorder="1"/>
    <xf numFmtId="1" fontId="5" fillId="5" borderId="13" xfId="0" applyNumberFormat="1" applyFont="1" applyFill="1" applyBorder="1" applyAlignment="1">
      <alignment horizontal="center"/>
    </xf>
    <xf numFmtId="165" fontId="5" fillId="6" borderId="13" xfId="0" applyNumberFormat="1" applyFont="1" applyFill="1" applyBorder="1" applyAlignment="1">
      <alignment horizontal="center"/>
    </xf>
    <xf numFmtId="165" fontId="5" fillId="7" borderId="13" xfId="0" applyNumberFormat="1" applyFont="1" applyFill="1" applyBorder="1" applyAlignment="1">
      <alignment horizontal="center"/>
    </xf>
    <xf numFmtId="165" fontId="5" fillId="8" borderId="13" xfId="0" applyNumberFormat="1" applyFont="1" applyFill="1" applyBorder="1" applyAlignment="1">
      <alignment horizontal="center"/>
    </xf>
  </cellXfs>
  <cellStyles count="2">
    <cellStyle name="Normal" xfId="0" builtinId="0"/>
    <cellStyle name="Percent" xfId="1" builtinId="5"/>
  </cellStyles>
  <dxfs count="5">
    <dxf>
      <fill>
        <patternFill patternType="solid">
          <fgColor indexed="64"/>
          <bgColor theme="4" tint="0.79998168889431442"/>
        </patternFill>
      </fill>
    </dxf>
    <dxf>
      <fill>
        <patternFill patternType="solid">
          <fgColor indexed="64"/>
          <bgColor theme="9" tint="0.7999816888943144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48" headerRowDxfId="1">
  <autoFilter ref="A1:M48" xr:uid="{00000000-000C-0000-FFFF-FFFF00000000}"/>
  <tableColumns count="13">
    <tableColumn id="1" xr3:uid="{00000000-0010-0000-0000-000001000000}" name="Timestamp"/>
    <tableColumn id="2" xr3:uid="{00000000-0010-0000-0000-000002000000}" name="Why did you apply to the fellowship program? [select all that apply]"/>
    <tableColumn id="3" xr3:uid="{00000000-0010-0000-0000-000003000000}" name="What motivates you to engage in the water quality testing fellowship program?  [select all that apply] "/>
    <tableColumn id="4" xr3:uid="{00000000-0010-0000-0000-000004000000}" name="How do you rate your general knowledge about water quality testing?"/>
    <tableColumn id="5" xr3:uid="{00000000-0010-0000-0000-000005000000}" name="How do you rate your knowledge or experience with laboratory work?"/>
    <tableColumn id="6" xr3:uid="{00000000-0010-0000-0000-000006000000}" name="How do you rate your knowledge or experience with field work (sampling, field testing, conducting surveys)? "/>
    <tableColumn id="7" xr3:uid="{00000000-0010-0000-0000-000007000000}" name="How interested are you in a career in water quality testing, drinking water, or WASH (water, sanitation, and hygiene)?"/>
    <tableColumn id="8" xr3:uid="{00000000-0010-0000-0000-000008000000}" name="What are your main expectations about the fellowship program?"/>
    <tableColumn id="9" xr3:uid="{00000000-0010-0000-0000-000009000000}" name="What university do you attend?"/>
    <tableColumn id="10" xr3:uid="{00000000-0010-0000-0000-00000A000000}" name="What is your major?"/>
    <tableColumn id="11" xr3:uid="{00000000-0010-0000-0000-00000B000000}" name="In what class year do you start the fellowship?"/>
    <tableColumn id="12" xr3:uid="{00000000-0010-0000-0000-00000C000000}" name="What is your gender?"/>
    <tableColumn id="13" xr3:uid="{00000000-0010-0000-0000-00000D000000}" name="What is your age?"/>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CF2423-FA22-4096-A275-5FDC18CDC52F}" name="Form_Responses14" displayName="Form_Responses14" ref="A1:R244" headerRowDxfId="0">
  <autoFilter ref="A1:R244" xr:uid="{E7CF2423-FA22-4096-A275-5FDC18CDC52F}"/>
  <tableColumns count="18">
    <tableColumn id="1" xr3:uid="{7C673E75-C630-4038-8859-4451161619B6}" name="Timestamp"/>
    <tableColumn id="2" xr3:uid="{C08E45B7-4663-4539-A627-24BC8DEC0D83}" name="Which module are you evaluating?"/>
    <tableColumn id="3" xr3:uid="{F8ACB3FE-BF39-458A-8CD6-69FFCF1330CF}" name="How satisfied were you with this module overall?"/>
    <tableColumn id="4" xr3:uid="{D8472A81-0A8B-4AD5-ABA7-71440DBFE403}" name="Please explain your answer to the above question."/>
    <tableColumn id="5" xr3:uid="{77B68CE8-F819-48A4-87D4-C1E0AD2DE3ED}" name="The topics covered were relevant to the module."/>
    <tableColumn id="6" xr3:uid="{1D8B5B15-C580-4004-B97B-92E6022027D7}" name="The module was well organized (the schedule, the files, assignments etc.)."/>
    <tableColumn id="7" xr3:uid="{53018E4A-6FFC-4EDA-8DA4-24DCBC37A6EA}" name="The Powerpoint slides were understandable and easy to navigate."/>
    <tableColumn id="8" xr3:uid="{C1A099DE-39DB-4C38-9081-61EF4DED719A}" name="The activities and discussions helped me understand the key points."/>
    <tableColumn id="9" xr3:uid="{552D2522-714F-46DC-BD4E-312CFFA27A1D}" name="The activity instructions were clearly explained."/>
    <tableColumn id="10" xr3:uid="{C6DBEBA7-AF08-47EA-AC35-A05F55119530}" name="The time allocated for the module and the activities was appropriate."/>
    <tableColumn id="11" xr3:uid="{E9E1EA4F-8761-4250-B418-9A3FA5BF5B45}" name="I believe that what I learned in this module will be useful in my academic or professional future."/>
    <tableColumn id="12" xr3:uid="{27CD2782-66EB-4ED8-AC0D-CE4EB2137749}" name="How do you rate the difficulty of the module's final quiz?"/>
    <tableColumn id="13" xr3:uid="{ED5BB2FA-82C6-4232-9B8E-EEC5B5C7FF96}" name="How do you rate the overall effectiveness of the instructor in delivering the module?"/>
    <tableColumn id="14" xr3:uid="{1388543C-4FD6-4F3E-8A32-00B488B8B7A3}" name="What do you consider as the strengths of the module?"/>
    <tableColumn id="15" xr3:uid="{C3F5A4F5-73FA-4CA6-B008-23F3585BAFE7}" name="Which areas of the module do you think could be improved? (e.g., anything related to the topics, the schedule, the instruction, the mode of delivery, etc.)"/>
    <tableColumn id="16" xr3:uid="{1DF6B56F-7135-437A-8AD9-E5CCA6960074}" name="What university do you attend?"/>
    <tableColumn id="17" xr3:uid="{10CA91B4-C6A8-49AC-BA63-E31D58025419}" name="What is your gender?"/>
    <tableColumn id="18" xr3:uid="{8475FF04-1427-4A03-8995-F0D6B0A24D2A}" name="Are you an undergraduate or graduate studen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8"/>
  <sheetViews>
    <sheetView tabSelected="1" workbookViewId="0">
      <pane ySplit="1" topLeftCell="A2" activePane="bottomLeft" state="frozen"/>
      <selection pane="bottomLeft" activeCell="B16" sqref="B16"/>
    </sheetView>
  </sheetViews>
  <sheetFormatPr defaultColWidth="12.6328125" defaultRowHeight="15.75" customHeight="1" x14ac:dyDescent="0.25"/>
  <cols>
    <col min="1" max="1" width="18.90625" customWidth="1"/>
    <col min="2" max="8" width="37.6328125" customWidth="1"/>
    <col min="9" max="9" width="27.453125" customWidth="1"/>
    <col min="10" max="10" width="19.81640625" customWidth="1"/>
    <col min="11" max="11" width="37.6328125" customWidth="1"/>
    <col min="12" max="12" width="20.453125" customWidth="1"/>
    <col min="13" max="19" width="18.90625" customWidth="1"/>
  </cols>
  <sheetData>
    <row r="1" spans="1:13" s="13" customFormat="1" x14ac:dyDescent="0.25">
      <c r="A1" s="10" t="s">
        <v>0</v>
      </c>
      <c r="B1" s="11" t="s">
        <v>1</v>
      </c>
      <c r="C1" s="11" t="s">
        <v>2</v>
      </c>
      <c r="D1" s="11" t="s">
        <v>3</v>
      </c>
      <c r="E1" s="11" t="s">
        <v>4</v>
      </c>
      <c r="F1" s="11" t="s">
        <v>5</v>
      </c>
      <c r="G1" s="11" t="s">
        <v>6</v>
      </c>
      <c r="H1" s="11" t="s">
        <v>7</v>
      </c>
      <c r="I1" s="11" t="s">
        <v>8</v>
      </c>
      <c r="J1" s="11" t="s">
        <v>9</v>
      </c>
      <c r="K1" s="11" t="s">
        <v>10</v>
      </c>
      <c r="L1" s="11" t="s">
        <v>11</v>
      </c>
      <c r="M1" s="12" t="s">
        <v>12</v>
      </c>
    </row>
    <row r="2" spans="1:13" x14ac:dyDescent="0.25">
      <c r="A2" s="1">
        <v>45597.446602349533</v>
      </c>
      <c r="B2" s="2" t="s">
        <v>13</v>
      </c>
      <c r="C2" s="2" t="s">
        <v>14</v>
      </c>
      <c r="D2" s="2" t="s">
        <v>15</v>
      </c>
      <c r="E2" s="2" t="s">
        <v>16</v>
      </c>
      <c r="F2" s="2" t="s">
        <v>15</v>
      </c>
      <c r="G2" s="2" t="s">
        <v>17</v>
      </c>
      <c r="H2" s="2" t="s">
        <v>18</v>
      </c>
      <c r="I2" s="2" t="s">
        <v>19</v>
      </c>
      <c r="J2" s="2" t="s">
        <v>20</v>
      </c>
      <c r="K2" s="2" t="s">
        <v>21</v>
      </c>
      <c r="L2" s="2" t="s">
        <v>22</v>
      </c>
      <c r="M2" s="3">
        <v>22</v>
      </c>
    </row>
    <row r="3" spans="1:13" x14ac:dyDescent="0.25">
      <c r="A3" s="4">
        <v>45597.457815057875</v>
      </c>
      <c r="B3" s="5" t="s">
        <v>23</v>
      </c>
      <c r="C3" s="5" t="s">
        <v>24</v>
      </c>
      <c r="D3" s="5" t="s">
        <v>15</v>
      </c>
      <c r="E3" s="5" t="s">
        <v>16</v>
      </c>
      <c r="F3" s="5" t="s">
        <v>15</v>
      </c>
      <c r="G3" s="5" t="s">
        <v>17</v>
      </c>
      <c r="H3" s="5" t="s">
        <v>25</v>
      </c>
      <c r="I3" s="5" t="s">
        <v>19</v>
      </c>
      <c r="J3" s="5" t="s">
        <v>26</v>
      </c>
      <c r="K3" s="5" t="s">
        <v>21</v>
      </c>
      <c r="L3" s="5" t="s">
        <v>22</v>
      </c>
      <c r="M3" s="6">
        <v>23</v>
      </c>
    </row>
    <row r="4" spans="1:13" x14ac:dyDescent="0.25">
      <c r="A4" s="1">
        <v>45597.521929201394</v>
      </c>
      <c r="B4" s="2" t="s">
        <v>27</v>
      </c>
      <c r="C4" s="2" t="s">
        <v>28</v>
      </c>
      <c r="D4" s="2" t="s">
        <v>16</v>
      </c>
      <c r="E4" s="2" t="s">
        <v>16</v>
      </c>
      <c r="F4" s="2" t="s">
        <v>15</v>
      </c>
      <c r="G4" s="2" t="s">
        <v>17</v>
      </c>
      <c r="H4" s="2" t="s">
        <v>29</v>
      </c>
      <c r="I4" s="2" t="s">
        <v>19</v>
      </c>
      <c r="J4" s="2" t="s">
        <v>30</v>
      </c>
      <c r="K4" s="2" t="s">
        <v>21</v>
      </c>
      <c r="L4" s="2" t="s">
        <v>31</v>
      </c>
      <c r="M4" s="3">
        <v>27</v>
      </c>
    </row>
    <row r="5" spans="1:13" x14ac:dyDescent="0.25">
      <c r="A5" s="4">
        <v>45597.531448287038</v>
      </c>
      <c r="B5" s="5" t="s">
        <v>32</v>
      </c>
      <c r="C5" s="5" t="s">
        <v>33</v>
      </c>
      <c r="D5" s="5" t="s">
        <v>16</v>
      </c>
      <c r="E5" s="5" t="s">
        <v>16</v>
      </c>
      <c r="F5" s="5" t="s">
        <v>16</v>
      </c>
      <c r="G5" s="5" t="s">
        <v>17</v>
      </c>
      <c r="H5" s="5" t="s">
        <v>34</v>
      </c>
      <c r="I5" s="5" t="s">
        <v>19</v>
      </c>
      <c r="J5" s="5" t="s">
        <v>35</v>
      </c>
      <c r="K5" s="5" t="s">
        <v>36</v>
      </c>
      <c r="L5" s="5" t="s">
        <v>31</v>
      </c>
      <c r="M5" s="6">
        <v>21</v>
      </c>
    </row>
    <row r="6" spans="1:13" x14ac:dyDescent="0.25">
      <c r="A6" s="1">
        <v>45597.552826342595</v>
      </c>
      <c r="B6" s="2" t="s">
        <v>37</v>
      </c>
      <c r="C6" s="2" t="s">
        <v>38</v>
      </c>
      <c r="D6" s="2" t="s">
        <v>39</v>
      </c>
      <c r="E6" s="2" t="s">
        <v>16</v>
      </c>
      <c r="F6" s="2" t="s">
        <v>39</v>
      </c>
      <c r="G6" s="2" t="s">
        <v>17</v>
      </c>
      <c r="H6" s="2" t="s">
        <v>40</v>
      </c>
      <c r="I6" s="2" t="s">
        <v>19</v>
      </c>
      <c r="J6" s="2" t="s">
        <v>41</v>
      </c>
      <c r="K6" s="2" t="s">
        <v>36</v>
      </c>
      <c r="L6" s="2" t="s">
        <v>31</v>
      </c>
      <c r="M6" s="3">
        <v>21</v>
      </c>
    </row>
    <row r="7" spans="1:13" x14ac:dyDescent="0.25">
      <c r="A7" s="4">
        <v>45597.553296342594</v>
      </c>
      <c r="B7" s="5" t="s">
        <v>42</v>
      </c>
      <c r="C7" s="5" t="s">
        <v>43</v>
      </c>
      <c r="D7" s="5" t="s">
        <v>16</v>
      </c>
      <c r="E7" s="5" t="s">
        <v>16</v>
      </c>
      <c r="F7" s="5" t="s">
        <v>16</v>
      </c>
      <c r="G7" s="5" t="s">
        <v>17</v>
      </c>
      <c r="H7" s="5" t="s">
        <v>44</v>
      </c>
      <c r="I7" s="5" t="s">
        <v>19</v>
      </c>
      <c r="J7" s="5" t="s">
        <v>45</v>
      </c>
      <c r="K7" s="5" t="s">
        <v>36</v>
      </c>
      <c r="L7" s="5" t="s">
        <v>31</v>
      </c>
      <c r="M7" s="6">
        <v>21</v>
      </c>
    </row>
    <row r="8" spans="1:13" x14ac:dyDescent="0.25">
      <c r="A8" s="1">
        <v>45597.557219594906</v>
      </c>
      <c r="B8" s="2" t="s">
        <v>46</v>
      </c>
      <c r="C8" s="2" t="s">
        <v>47</v>
      </c>
      <c r="D8" s="2" t="s">
        <v>39</v>
      </c>
      <c r="E8" s="2" t="s">
        <v>39</v>
      </c>
      <c r="F8" s="2" t="s">
        <v>16</v>
      </c>
      <c r="G8" s="2" t="s">
        <v>17</v>
      </c>
      <c r="H8" s="2" t="s">
        <v>48</v>
      </c>
      <c r="I8" s="2" t="s">
        <v>19</v>
      </c>
      <c r="J8" s="2" t="s">
        <v>49</v>
      </c>
      <c r="K8" s="2" t="s">
        <v>36</v>
      </c>
      <c r="L8" s="2" t="s">
        <v>31</v>
      </c>
      <c r="M8" s="3">
        <v>22</v>
      </c>
    </row>
    <row r="9" spans="1:13" x14ac:dyDescent="0.25">
      <c r="A9" s="4">
        <v>45597.567104398149</v>
      </c>
      <c r="B9" s="5" t="s">
        <v>23</v>
      </c>
      <c r="C9" s="5" t="s">
        <v>50</v>
      </c>
      <c r="D9" s="5" t="s">
        <v>16</v>
      </c>
      <c r="E9" s="5" t="s">
        <v>15</v>
      </c>
      <c r="F9" s="5" t="s">
        <v>15</v>
      </c>
      <c r="G9" s="5" t="s">
        <v>17</v>
      </c>
      <c r="H9" s="5" t="s">
        <v>51</v>
      </c>
      <c r="I9" s="5" t="s">
        <v>19</v>
      </c>
      <c r="J9" s="5" t="s">
        <v>45</v>
      </c>
      <c r="K9" s="5" t="s">
        <v>36</v>
      </c>
      <c r="L9" s="5" t="s">
        <v>31</v>
      </c>
      <c r="M9" s="6">
        <v>21</v>
      </c>
    </row>
    <row r="10" spans="1:13" x14ac:dyDescent="0.25">
      <c r="A10" s="1">
        <v>45597.570809826386</v>
      </c>
      <c r="B10" s="2" t="s">
        <v>52</v>
      </c>
      <c r="C10" s="2" t="s">
        <v>33</v>
      </c>
      <c r="D10" s="2" t="s">
        <v>16</v>
      </c>
      <c r="E10" s="2" t="s">
        <v>15</v>
      </c>
      <c r="F10" s="2" t="s">
        <v>16</v>
      </c>
      <c r="G10" s="2" t="s">
        <v>17</v>
      </c>
      <c r="H10" s="2" t="s">
        <v>53</v>
      </c>
      <c r="I10" s="2" t="s">
        <v>19</v>
      </c>
      <c r="J10" s="2" t="s">
        <v>54</v>
      </c>
      <c r="K10" s="2" t="s">
        <v>36</v>
      </c>
      <c r="L10" s="2" t="s">
        <v>22</v>
      </c>
      <c r="M10" s="3">
        <v>21</v>
      </c>
    </row>
    <row r="11" spans="1:13" x14ac:dyDescent="0.25">
      <c r="A11" s="4">
        <v>45597.575830659727</v>
      </c>
      <c r="B11" s="5" t="s">
        <v>55</v>
      </c>
      <c r="C11" s="5" t="s">
        <v>56</v>
      </c>
      <c r="D11" s="5" t="s">
        <v>15</v>
      </c>
      <c r="E11" s="5" t="s">
        <v>15</v>
      </c>
      <c r="F11" s="5" t="s">
        <v>15</v>
      </c>
      <c r="G11" s="5" t="s">
        <v>17</v>
      </c>
      <c r="H11" s="5" t="s">
        <v>57</v>
      </c>
      <c r="I11" s="5" t="s">
        <v>19</v>
      </c>
      <c r="J11" s="5" t="s">
        <v>58</v>
      </c>
      <c r="K11" s="5" t="s">
        <v>36</v>
      </c>
      <c r="L11" s="5" t="s">
        <v>31</v>
      </c>
      <c r="M11" s="6">
        <v>20</v>
      </c>
    </row>
    <row r="12" spans="1:13" x14ac:dyDescent="0.25">
      <c r="A12" s="1">
        <v>45597.57589821759</v>
      </c>
      <c r="B12" s="2" t="s">
        <v>59</v>
      </c>
      <c r="C12" s="2" t="s">
        <v>60</v>
      </c>
      <c r="D12" s="2" t="s">
        <v>16</v>
      </c>
      <c r="E12" s="2" t="s">
        <v>16</v>
      </c>
      <c r="F12" s="2" t="s">
        <v>15</v>
      </c>
      <c r="G12" s="2" t="s">
        <v>17</v>
      </c>
      <c r="H12" s="2" t="s">
        <v>61</v>
      </c>
      <c r="I12" s="2" t="s">
        <v>19</v>
      </c>
      <c r="J12" s="2" t="s">
        <v>62</v>
      </c>
      <c r="K12" s="2" t="s">
        <v>36</v>
      </c>
      <c r="L12" s="2" t="s">
        <v>22</v>
      </c>
      <c r="M12" s="3">
        <v>21</v>
      </c>
    </row>
    <row r="13" spans="1:13" x14ac:dyDescent="0.25">
      <c r="A13" s="4">
        <v>45597.578601168978</v>
      </c>
      <c r="B13" s="5" t="s">
        <v>63</v>
      </c>
      <c r="C13" s="5" t="s">
        <v>64</v>
      </c>
      <c r="D13" s="5" t="s">
        <v>15</v>
      </c>
      <c r="E13" s="5" t="s">
        <v>15</v>
      </c>
      <c r="F13" s="5" t="s">
        <v>15</v>
      </c>
      <c r="G13" s="5" t="s">
        <v>17</v>
      </c>
      <c r="H13" s="5" t="s">
        <v>65</v>
      </c>
      <c r="I13" s="5" t="s">
        <v>19</v>
      </c>
      <c r="J13" s="5" t="s">
        <v>66</v>
      </c>
      <c r="K13" s="5" t="s">
        <v>21</v>
      </c>
      <c r="L13" s="5" t="s">
        <v>22</v>
      </c>
      <c r="M13" s="6">
        <v>38</v>
      </c>
    </row>
    <row r="14" spans="1:13" x14ac:dyDescent="0.25">
      <c r="A14" s="1">
        <v>45597.588613645828</v>
      </c>
      <c r="B14" s="2" t="s">
        <v>52</v>
      </c>
      <c r="C14" s="2" t="s">
        <v>67</v>
      </c>
      <c r="D14" s="2" t="s">
        <v>16</v>
      </c>
      <c r="E14" s="2" t="s">
        <v>16</v>
      </c>
      <c r="F14" s="2" t="s">
        <v>16</v>
      </c>
      <c r="G14" s="2" t="s">
        <v>17</v>
      </c>
      <c r="H14" s="2" t="s">
        <v>68</v>
      </c>
      <c r="I14" s="2" t="s">
        <v>19</v>
      </c>
      <c r="J14" s="2" t="s">
        <v>45</v>
      </c>
      <c r="K14" s="2" t="s">
        <v>36</v>
      </c>
      <c r="L14" s="2" t="s">
        <v>31</v>
      </c>
      <c r="M14" s="3">
        <v>21</v>
      </c>
    </row>
    <row r="15" spans="1:13" x14ac:dyDescent="0.25">
      <c r="A15" s="4">
        <v>45597.590910312501</v>
      </c>
      <c r="B15" s="5" t="s">
        <v>52</v>
      </c>
      <c r="C15" s="5" t="s">
        <v>69</v>
      </c>
      <c r="D15" s="5" t="s">
        <v>15</v>
      </c>
      <c r="E15" s="5" t="s">
        <v>15</v>
      </c>
      <c r="F15" s="5" t="s">
        <v>16</v>
      </c>
      <c r="G15" s="5" t="s">
        <v>17</v>
      </c>
      <c r="H15" s="5" t="s">
        <v>70</v>
      </c>
      <c r="I15" s="5" t="s">
        <v>19</v>
      </c>
      <c r="J15" s="5" t="s">
        <v>71</v>
      </c>
      <c r="K15" s="5" t="s">
        <v>21</v>
      </c>
      <c r="L15" s="5" t="s">
        <v>22</v>
      </c>
      <c r="M15" s="6">
        <v>22</v>
      </c>
    </row>
    <row r="16" spans="1:13" x14ac:dyDescent="0.25">
      <c r="A16" s="1">
        <v>45597.592781851854</v>
      </c>
      <c r="B16" s="2" t="s">
        <v>72</v>
      </c>
      <c r="C16" s="2" t="s">
        <v>73</v>
      </c>
      <c r="D16" s="2" t="s">
        <v>15</v>
      </c>
      <c r="E16" s="2" t="s">
        <v>15</v>
      </c>
      <c r="F16" s="2" t="s">
        <v>74</v>
      </c>
      <c r="G16" s="2" t="s">
        <v>17</v>
      </c>
      <c r="H16" s="2" t="s">
        <v>75</v>
      </c>
      <c r="I16" s="2" t="s">
        <v>19</v>
      </c>
      <c r="J16" s="2" t="s">
        <v>76</v>
      </c>
      <c r="K16" s="2" t="s">
        <v>21</v>
      </c>
      <c r="L16" s="2" t="s">
        <v>31</v>
      </c>
      <c r="M16" s="3">
        <v>25</v>
      </c>
    </row>
    <row r="17" spans="1:13" x14ac:dyDescent="0.25">
      <c r="A17" s="4">
        <v>45597.59939231482</v>
      </c>
      <c r="B17" s="5" t="s">
        <v>77</v>
      </c>
      <c r="C17" s="5" t="s">
        <v>78</v>
      </c>
      <c r="D17" s="5" t="s">
        <v>16</v>
      </c>
      <c r="E17" s="5" t="s">
        <v>16</v>
      </c>
      <c r="F17" s="5" t="s">
        <v>39</v>
      </c>
      <c r="G17" s="5" t="s">
        <v>79</v>
      </c>
      <c r="H17" s="5" t="s">
        <v>80</v>
      </c>
      <c r="I17" s="5" t="s">
        <v>19</v>
      </c>
      <c r="J17" s="5" t="s">
        <v>81</v>
      </c>
      <c r="K17" s="5" t="s">
        <v>36</v>
      </c>
      <c r="L17" s="5" t="s">
        <v>31</v>
      </c>
      <c r="M17" s="6">
        <v>21</v>
      </c>
    </row>
    <row r="18" spans="1:13" x14ac:dyDescent="0.25">
      <c r="A18" s="1">
        <v>45597.60630068287</v>
      </c>
      <c r="B18" s="2" t="s">
        <v>82</v>
      </c>
      <c r="C18" s="2" t="s">
        <v>47</v>
      </c>
      <c r="D18" s="2" t="s">
        <v>16</v>
      </c>
      <c r="E18" s="2" t="s">
        <v>39</v>
      </c>
      <c r="F18" s="2" t="s">
        <v>16</v>
      </c>
      <c r="G18" s="2" t="s">
        <v>17</v>
      </c>
      <c r="H18" s="2" t="s">
        <v>83</v>
      </c>
      <c r="I18" s="2" t="s">
        <v>19</v>
      </c>
      <c r="J18" s="2" t="s">
        <v>84</v>
      </c>
      <c r="K18" s="2" t="s">
        <v>36</v>
      </c>
      <c r="L18" s="2" t="s">
        <v>31</v>
      </c>
      <c r="M18" s="3">
        <v>20</v>
      </c>
    </row>
    <row r="19" spans="1:13" x14ac:dyDescent="0.25">
      <c r="A19" s="4">
        <v>45597.610695914351</v>
      </c>
      <c r="B19" s="5" t="s">
        <v>85</v>
      </c>
      <c r="C19" s="5" t="s">
        <v>38</v>
      </c>
      <c r="D19" s="5" t="s">
        <v>16</v>
      </c>
      <c r="E19" s="5" t="s">
        <v>16</v>
      </c>
      <c r="F19" s="5" t="s">
        <v>39</v>
      </c>
      <c r="G19" s="5" t="s">
        <v>17</v>
      </c>
      <c r="H19" s="5" t="s">
        <v>86</v>
      </c>
      <c r="I19" s="5" t="s">
        <v>19</v>
      </c>
      <c r="J19" s="5" t="s">
        <v>87</v>
      </c>
      <c r="K19" s="5" t="s">
        <v>21</v>
      </c>
      <c r="L19" s="5" t="s">
        <v>22</v>
      </c>
      <c r="M19" s="6">
        <v>24</v>
      </c>
    </row>
    <row r="20" spans="1:13" x14ac:dyDescent="0.25">
      <c r="A20" s="1">
        <v>45597.613345486112</v>
      </c>
      <c r="B20" s="2" t="s">
        <v>88</v>
      </c>
      <c r="C20" s="2" t="s">
        <v>38</v>
      </c>
      <c r="D20" s="2" t="s">
        <v>39</v>
      </c>
      <c r="E20" s="2" t="s">
        <v>16</v>
      </c>
      <c r="F20" s="2" t="s">
        <v>15</v>
      </c>
      <c r="G20" s="2" t="s">
        <v>89</v>
      </c>
      <c r="H20" s="2" t="s">
        <v>90</v>
      </c>
      <c r="I20" s="2" t="s">
        <v>19</v>
      </c>
      <c r="J20" s="2" t="s">
        <v>91</v>
      </c>
      <c r="K20" s="2" t="s">
        <v>36</v>
      </c>
      <c r="L20" s="2" t="s">
        <v>22</v>
      </c>
      <c r="M20" s="3">
        <v>22</v>
      </c>
    </row>
    <row r="21" spans="1:13" x14ac:dyDescent="0.25">
      <c r="A21" s="4">
        <v>45597.616216562499</v>
      </c>
      <c r="B21" s="5" t="s">
        <v>72</v>
      </c>
      <c r="C21" s="5" t="s">
        <v>33</v>
      </c>
      <c r="D21" s="5" t="s">
        <v>16</v>
      </c>
      <c r="E21" s="5" t="s">
        <v>16</v>
      </c>
      <c r="F21" s="5" t="s">
        <v>16</v>
      </c>
      <c r="G21" s="5" t="s">
        <v>17</v>
      </c>
      <c r="H21" s="5" t="s">
        <v>92</v>
      </c>
      <c r="I21" s="5" t="s">
        <v>19</v>
      </c>
      <c r="J21" s="5" t="s">
        <v>93</v>
      </c>
      <c r="K21" s="5" t="s">
        <v>36</v>
      </c>
      <c r="L21" s="5" t="s">
        <v>31</v>
      </c>
      <c r="M21" s="6">
        <v>21</v>
      </c>
    </row>
    <row r="22" spans="1:13" x14ac:dyDescent="0.25">
      <c r="A22" s="1">
        <v>45597.625279421292</v>
      </c>
      <c r="B22" s="2" t="s">
        <v>94</v>
      </c>
      <c r="C22" s="2" t="s">
        <v>95</v>
      </c>
      <c r="D22" s="2" t="s">
        <v>16</v>
      </c>
      <c r="E22" s="2" t="s">
        <v>16</v>
      </c>
      <c r="F22" s="2" t="s">
        <v>16</v>
      </c>
      <c r="G22" s="2" t="s">
        <v>17</v>
      </c>
      <c r="H22" s="2" t="s">
        <v>96</v>
      </c>
      <c r="I22" s="2" t="s">
        <v>19</v>
      </c>
      <c r="J22" s="2" t="s">
        <v>97</v>
      </c>
      <c r="K22" s="2" t="s">
        <v>21</v>
      </c>
      <c r="L22" s="2" t="s">
        <v>22</v>
      </c>
      <c r="M22" s="3">
        <v>24</v>
      </c>
    </row>
    <row r="23" spans="1:13" x14ac:dyDescent="0.25">
      <c r="A23" s="4">
        <v>45597.625379074074</v>
      </c>
      <c r="B23" s="5" t="s">
        <v>98</v>
      </c>
      <c r="C23" s="5" t="s">
        <v>99</v>
      </c>
      <c r="D23" s="5" t="s">
        <v>100</v>
      </c>
      <c r="E23" s="5" t="s">
        <v>15</v>
      </c>
      <c r="F23" s="5" t="s">
        <v>100</v>
      </c>
      <c r="G23" s="5" t="s">
        <v>17</v>
      </c>
      <c r="H23" s="5" t="s">
        <v>101</v>
      </c>
      <c r="I23" s="5" t="s">
        <v>19</v>
      </c>
      <c r="J23" s="5" t="s">
        <v>102</v>
      </c>
      <c r="K23" s="5" t="s">
        <v>21</v>
      </c>
      <c r="L23" s="5" t="s">
        <v>22</v>
      </c>
      <c r="M23" s="6">
        <v>21</v>
      </c>
    </row>
    <row r="24" spans="1:13" x14ac:dyDescent="0.25">
      <c r="A24" s="1">
        <v>45597.631486331018</v>
      </c>
      <c r="B24" s="2" t="s">
        <v>98</v>
      </c>
      <c r="C24" s="2" t="s">
        <v>43</v>
      </c>
      <c r="D24" s="2" t="s">
        <v>16</v>
      </c>
      <c r="E24" s="2" t="s">
        <v>15</v>
      </c>
      <c r="F24" s="2" t="s">
        <v>39</v>
      </c>
      <c r="G24" s="2" t="s">
        <v>17</v>
      </c>
      <c r="H24" s="2" t="s">
        <v>103</v>
      </c>
      <c r="I24" s="2" t="s">
        <v>19</v>
      </c>
      <c r="J24" s="2" t="s">
        <v>104</v>
      </c>
      <c r="K24" s="2" t="s">
        <v>36</v>
      </c>
      <c r="L24" s="2" t="s">
        <v>22</v>
      </c>
      <c r="M24" s="3">
        <v>23</v>
      </c>
    </row>
    <row r="25" spans="1:13" x14ac:dyDescent="0.25">
      <c r="A25" s="4">
        <v>45597.712280891203</v>
      </c>
      <c r="B25" s="5" t="s">
        <v>55</v>
      </c>
      <c r="C25" s="5" t="s">
        <v>105</v>
      </c>
      <c r="D25" s="5" t="s">
        <v>16</v>
      </c>
      <c r="E25" s="5" t="s">
        <v>39</v>
      </c>
      <c r="F25" s="5" t="s">
        <v>16</v>
      </c>
      <c r="G25" s="5" t="s">
        <v>17</v>
      </c>
      <c r="H25" s="5" t="s">
        <v>106</v>
      </c>
      <c r="I25" s="5" t="s">
        <v>19</v>
      </c>
      <c r="J25" s="5" t="s">
        <v>107</v>
      </c>
      <c r="K25" s="5" t="s">
        <v>36</v>
      </c>
      <c r="L25" s="5" t="s">
        <v>22</v>
      </c>
      <c r="M25" s="6">
        <v>25</v>
      </c>
    </row>
    <row r="26" spans="1:13" x14ac:dyDescent="0.25">
      <c r="A26" s="1">
        <v>45597.715571180554</v>
      </c>
      <c r="B26" s="2" t="s">
        <v>108</v>
      </c>
      <c r="C26" s="2" t="s">
        <v>95</v>
      </c>
      <c r="D26" s="2" t="s">
        <v>15</v>
      </c>
      <c r="E26" s="2" t="s">
        <v>15</v>
      </c>
      <c r="F26" s="2" t="s">
        <v>15</v>
      </c>
      <c r="G26" s="2" t="s">
        <v>17</v>
      </c>
      <c r="H26" s="2" t="s">
        <v>109</v>
      </c>
      <c r="I26" s="2" t="s">
        <v>19</v>
      </c>
      <c r="J26" s="2" t="s">
        <v>110</v>
      </c>
      <c r="K26" s="2" t="s">
        <v>36</v>
      </c>
      <c r="L26" s="2" t="s">
        <v>22</v>
      </c>
      <c r="M26" s="3">
        <v>22</v>
      </c>
    </row>
    <row r="27" spans="1:13" x14ac:dyDescent="0.25">
      <c r="A27" s="4">
        <v>45597.81171228009</v>
      </c>
      <c r="B27" s="5" t="s">
        <v>63</v>
      </c>
      <c r="C27" s="5" t="s">
        <v>50</v>
      </c>
      <c r="D27" s="5" t="s">
        <v>16</v>
      </c>
      <c r="E27" s="5" t="s">
        <v>74</v>
      </c>
      <c r="F27" s="5" t="s">
        <v>74</v>
      </c>
      <c r="G27" s="5" t="s">
        <v>17</v>
      </c>
      <c r="H27" s="5" t="s">
        <v>111</v>
      </c>
      <c r="I27" s="5" t="s">
        <v>19</v>
      </c>
      <c r="J27" s="5" t="s">
        <v>112</v>
      </c>
      <c r="K27" s="5" t="s">
        <v>21</v>
      </c>
      <c r="L27" s="5" t="s">
        <v>22</v>
      </c>
      <c r="M27" s="6">
        <v>27</v>
      </c>
    </row>
    <row r="28" spans="1:13" x14ac:dyDescent="0.25">
      <c r="A28" s="1">
        <v>45598.011873449075</v>
      </c>
      <c r="B28" s="2" t="s">
        <v>55</v>
      </c>
      <c r="C28" s="2" t="s">
        <v>99</v>
      </c>
      <c r="D28" s="2" t="s">
        <v>100</v>
      </c>
      <c r="E28" s="2" t="s">
        <v>15</v>
      </c>
      <c r="F28" s="2" t="s">
        <v>100</v>
      </c>
      <c r="G28" s="2" t="s">
        <v>17</v>
      </c>
      <c r="H28" s="2" t="s">
        <v>113</v>
      </c>
      <c r="I28" s="2" t="s">
        <v>19</v>
      </c>
      <c r="J28" s="2" t="s">
        <v>114</v>
      </c>
      <c r="K28" s="2" t="s">
        <v>21</v>
      </c>
      <c r="L28" s="2" t="s">
        <v>22</v>
      </c>
      <c r="M28" s="3">
        <v>24</v>
      </c>
    </row>
    <row r="29" spans="1:13" x14ac:dyDescent="0.25">
      <c r="A29" s="4">
        <v>45598.051968182874</v>
      </c>
      <c r="B29" s="5" t="s">
        <v>52</v>
      </c>
      <c r="C29" s="5" t="s">
        <v>115</v>
      </c>
      <c r="D29" s="5" t="s">
        <v>15</v>
      </c>
      <c r="E29" s="5" t="s">
        <v>16</v>
      </c>
      <c r="F29" s="5" t="s">
        <v>16</v>
      </c>
      <c r="G29" s="5" t="s">
        <v>17</v>
      </c>
      <c r="H29" s="5" t="s">
        <v>116</v>
      </c>
      <c r="I29" s="5" t="s">
        <v>19</v>
      </c>
      <c r="J29" s="5" t="s">
        <v>117</v>
      </c>
      <c r="K29" s="5" t="s">
        <v>36</v>
      </c>
      <c r="L29" s="5" t="s">
        <v>22</v>
      </c>
      <c r="M29" s="6">
        <v>21</v>
      </c>
    </row>
    <row r="30" spans="1:13" x14ac:dyDescent="0.25">
      <c r="A30" s="1">
        <v>45598.089413287038</v>
      </c>
      <c r="B30" s="2" t="s">
        <v>23</v>
      </c>
      <c r="C30" s="2" t="s">
        <v>118</v>
      </c>
      <c r="D30" s="2" t="s">
        <v>15</v>
      </c>
      <c r="E30" s="2" t="s">
        <v>39</v>
      </c>
      <c r="F30" s="2" t="s">
        <v>39</v>
      </c>
      <c r="G30" s="2" t="s">
        <v>17</v>
      </c>
      <c r="H30" s="2" t="s">
        <v>119</v>
      </c>
      <c r="I30" s="2" t="s">
        <v>19</v>
      </c>
      <c r="J30" s="2" t="s">
        <v>120</v>
      </c>
      <c r="K30" s="2" t="s">
        <v>36</v>
      </c>
      <c r="L30" s="2" t="s">
        <v>22</v>
      </c>
      <c r="M30" s="3">
        <v>21</v>
      </c>
    </row>
    <row r="31" spans="1:13" x14ac:dyDescent="0.25">
      <c r="A31" s="4">
        <v>45598.112728425927</v>
      </c>
      <c r="B31" s="5" t="s">
        <v>82</v>
      </c>
      <c r="C31" s="5" t="s">
        <v>43</v>
      </c>
      <c r="D31" s="5" t="s">
        <v>16</v>
      </c>
      <c r="E31" s="5" t="s">
        <v>15</v>
      </c>
      <c r="F31" s="5" t="s">
        <v>39</v>
      </c>
      <c r="G31" s="5" t="s">
        <v>17</v>
      </c>
      <c r="H31" s="5" t="s">
        <v>121</v>
      </c>
      <c r="I31" s="5" t="s">
        <v>19</v>
      </c>
      <c r="J31" s="5" t="s">
        <v>54</v>
      </c>
      <c r="K31" s="5" t="s">
        <v>36</v>
      </c>
      <c r="L31" s="5" t="s">
        <v>22</v>
      </c>
      <c r="M31" s="6">
        <v>21</v>
      </c>
    </row>
    <row r="32" spans="1:13" x14ac:dyDescent="0.25">
      <c r="A32" s="1">
        <v>45605.375181770833</v>
      </c>
      <c r="B32" s="2" t="s">
        <v>122</v>
      </c>
      <c r="C32" s="2" t="s">
        <v>50</v>
      </c>
      <c r="D32" s="2" t="s">
        <v>15</v>
      </c>
      <c r="E32" s="2" t="s">
        <v>15</v>
      </c>
      <c r="F32" s="2" t="s">
        <v>15</v>
      </c>
      <c r="G32" s="2" t="s">
        <v>17</v>
      </c>
      <c r="H32" s="2" t="s">
        <v>123</v>
      </c>
      <c r="I32" s="2" t="s">
        <v>19</v>
      </c>
      <c r="J32" s="2" t="s">
        <v>124</v>
      </c>
      <c r="K32" s="2" t="s">
        <v>21</v>
      </c>
      <c r="L32" s="2" t="s">
        <v>22</v>
      </c>
      <c r="M32" s="3">
        <v>23</v>
      </c>
    </row>
    <row r="33" spans="1:13" x14ac:dyDescent="0.25">
      <c r="A33" s="4">
        <v>45608.416152824073</v>
      </c>
      <c r="B33" s="5" t="s">
        <v>98</v>
      </c>
      <c r="C33" s="5" t="s">
        <v>125</v>
      </c>
      <c r="D33" s="5" t="s">
        <v>16</v>
      </c>
      <c r="E33" s="5" t="s">
        <v>16</v>
      </c>
      <c r="F33" s="5" t="s">
        <v>15</v>
      </c>
      <c r="G33" s="5" t="s">
        <v>17</v>
      </c>
      <c r="H33" s="5" t="s">
        <v>126</v>
      </c>
      <c r="I33" s="5" t="s">
        <v>127</v>
      </c>
      <c r="J33" s="5" t="s">
        <v>112</v>
      </c>
      <c r="K33" s="5" t="s">
        <v>128</v>
      </c>
      <c r="L33" s="5" t="s">
        <v>22</v>
      </c>
      <c r="M33" s="6">
        <v>24</v>
      </c>
    </row>
    <row r="34" spans="1:13" x14ac:dyDescent="0.25">
      <c r="A34" s="1">
        <v>45608.417202708333</v>
      </c>
      <c r="B34" s="2" t="s">
        <v>55</v>
      </c>
      <c r="C34" s="2" t="s">
        <v>125</v>
      </c>
      <c r="D34" s="2" t="s">
        <v>39</v>
      </c>
      <c r="E34" s="2" t="s">
        <v>39</v>
      </c>
      <c r="F34" s="2" t="s">
        <v>74</v>
      </c>
      <c r="G34" s="2" t="s">
        <v>17</v>
      </c>
      <c r="H34" s="2" t="s">
        <v>129</v>
      </c>
      <c r="I34" s="2" t="s">
        <v>127</v>
      </c>
      <c r="J34" s="2" t="s">
        <v>130</v>
      </c>
      <c r="K34" s="2" t="s">
        <v>131</v>
      </c>
      <c r="L34" s="2" t="s">
        <v>22</v>
      </c>
      <c r="M34" s="3">
        <v>22</v>
      </c>
    </row>
    <row r="35" spans="1:13" x14ac:dyDescent="0.25">
      <c r="A35" s="4">
        <v>45608.440962291672</v>
      </c>
      <c r="B35" s="5" t="s">
        <v>59</v>
      </c>
      <c r="C35" s="5" t="s">
        <v>33</v>
      </c>
      <c r="D35" s="5" t="s">
        <v>16</v>
      </c>
      <c r="E35" s="5" t="s">
        <v>39</v>
      </c>
      <c r="F35" s="5" t="s">
        <v>39</v>
      </c>
      <c r="G35" s="5" t="s">
        <v>17</v>
      </c>
      <c r="H35" s="5" t="s">
        <v>132</v>
      </c>
      <c r="I35" s="5" t="s">
        <v>127</v>
      </c>
      <c r="J35" s="5" t="s">
        <v>133</v>
      </c>
      <c r="K35" s="5" t="s">
        <v>134</v>
      </c>
      <c r="L35" s="5" t="s">
        <v>22</v>
      </c>
      <c r="M35" s="6">
        <v>22</v>
      </c>
    </row>
    <row r="36" spans="1:13" x14ac:dyDescent="0.25">
      <c r="A36" s="1">
        <v>45608.479452337968</v>
      </c>
      <c r="B36" s="2" t="s">
        <v>135</v>
      </c>
      <c r="C36" s="2" t="s">
        <v>125</v>
      </c>
      <c r="D36" s="2" t="s">
        <v>39</v>
      </c>
      <c r="E36" s="2" t="s">
        <v>16</v>
      </c>
      <c r="F36" s="2" t="s">
        <v>39</v>
      </c>
      <c r="G36" s="2" t="s">
        <v>17</v>
      </c>
      <c r="H36" s="2" t="s">
        <v>136</v>
      </c>
      <c r="I36" s="2" t="s">
        <v>127</v>
      </c>
      <c r="J36" s="2" t="s">
        <v>62</v>
      </c>
      <c r="K36" s="2" t="s">
        <v>137</v>
      </c>
      <c r="L36" s="2" t="s">
        <v>31</v>
      </c>
      <c r="M36" s="3">
        <v>21</v>
      </c>
    </row>
    <row r="37" spans="1:13" x14ac:dyDescent="0.25">
      <c r="A37" s="4">
        <v>45608.484355902779</v>
      </c>
      <c r="B37" s="5" t="s">
        <v>59</v>
      </c>
      <c r="C37" s="5" t="s">
        <v>138</v>
      </c>
      <c r="D37" s="5" t="s">
        <v>39</v>
      </c>
      <c r="E37" s="5" t="s">
        <v>39</v>
      </c>
      <c r="F37" s="5" t="s">
        <v>39</v>
      </c>
      <c r="G37" s="5" t="s">
        <v>17</v>
      </c>
      <c r="H37" s="5" t="s">
        <v>139</v>
      </c>
      <c r="I37" s="5" t="s">
        <v>127</v>
      </c>
      <c r="J37" s="5" t="s">
        <v>110</v>
      </c>
      <c r="K37" s="5" t="s">
        <v>140</v>
      </c>
      <c r="L37" s="5" t="s">
        <v>22</v>
      </c>
      <c r="M37" s="6">
        <v>23</v>
      </c>
    </row>
    <row r="38" spans="1:13" x14ac:dyDescent="0.25">
      <c r="A38" s="1">
        <v>45608.490569259258</v>
      </c>
      <c r="B38" s="2" t="s">
        <v>122</v>
      </c>
      <c r="C38" s="2" t="s">
        <v>141</v>
      </c>
      <c r="D38" s="2" t="s">
        <v>16</v>
      </c>
      <c r="E38" s="2" t="s">
        <v>15</v>
      </c>
      <c r="F38" s="2" t="s">
        <v>15</v>
      </c>
      <c r="G38" s="2" t="s">
        <v>17</v>
      </c>
      <c r="H38" s="2" t="s">
        <v>142</v>
      </c>
      <c r="I38" s="2" t="s">
        <v>127</v>
      </c>
      <c r="J38" s="2" t="s">
        <v>143</v>
      </c>
      <c r="K38" s="2" t="s">
        <v>137</v>
      </c>
      <c r="L38" s="2" t="s">
        <v>22</v>
      </c>
      <c r="M38" s="3">
        <v>24</v>
      </c>
    </row>
    <row r="39" spans="1:13" x14ac:dyDescent="0.25">
      <c r="A39" s="4">
        <v>45608.554979780092</v>
      </c>
      <c r="B39" s="5" t="s">
        <v>72</v>
      </c>
      <c r="C39" s="5" t="s">
        <v>33</v>
      </c>
      <c r="D39" s="5" t="s">
        <v>16</v>
      </c>
      <c r="E39" s="5" t="s">
        <v>16</v>
      </c>
      <c r="F39" s="5" t="s">
        <v>16</v>
      </c>
      <c r="G39" s="5" t="s">
        <v>17</v>
      </c>
      <c r="H39" s="5" t="s">
        <v>144</v>
      </c>
      <c r="I39" s="5" t="s">
        <v>127</v>
      </c>
      <c r="J39" s="5" t="s">
        <v>145</v>
      </c>
      <c r="K39" s="5" t="s">
        <v>134</v>
      </c>
      <c r="L39" s="5" t="s">
        <v>22</v>
      </c>
      <c r="M39" s="6">
        <v>22</v>
      </c>
    </row>
    <row r="40" spans="1:13" x14ac:dyDescent="0.25">
      <c r="A40" s="1">
        <v>45608.567700763888</v>
      </c>
      <c r="B40" s="2" t="s">
        <v>135</v>
      </c>
      <c r="C40" s="2" t="s">
        <v>141</v>
      </c>
      <c r="D40" s="2" t="s">
        <v>39</v>
      </c>
      <c r="E40" s="2" t="s">
        <v>16</v>
      </c>
      <c r="F40" s="2" t="s">
        <v>16</v>
      </c>
      <c r="G40" s="2" t="s">
        <v>17</v>
      </c>
      <c r="H40" s="2" t="s">
        <v>146</v>
      </c>
      <c r="I40" s="2" t="s">
        <v>127</v>
      </c>
      <c r="J40" s="2" t="s">
        <v>147</v>
      </c>
      <c r="K40" s="2" t="s">
        <v>137</v>
      </c>
      <c r="L40" s="2" t="s">
        <v>22</v>
      </c>
      <c r="M40" s="3">
        <v>22</v>
      </c>
    </row>
    <row r="41" spans="1:13" x14ac:dyDescent="0.25">
      <c r="A41" s="4">
        <v>45609.14756193287</v>
      </c>
      <c r="B41" s="5" t="s">
        <v>148</v>
      </c>
      <c r="C41" s="5" t="s">
        <v>73</v>
      </c>
      <c r="D41" s="5" t="s">
        <v>16</v>
      </c>
      <c r="E41" s="5" t="s">
        <v>16</v>
      </c>
      <c r="F41" s="5" t="s">
        <v>16</v>
      </c>
      <c r="G41" s="5" t="s">
        <v>79</v>
      </c>
      <c r="H41" s="5" t="s">
        <v>149</v>
      </c>
      <c r="I41" s="5" t="s">
        <v>127</v>
      </c>
      <c r="J41" s="5" t="s">
        <v>150</v>
      </c>
      <c r="K41" s="5" t="s">
        <v>137</v>
      </c>
      <c r="L41" s="5" t="s">
        <v>31</v>
      </c>
      <c r="M41" s="6">
        <v>23</v>
      </c>
    </row>
    <row r="42" spans="1:13" x14ac:dyDescent="0.25">
      <c r="A42" s="1">
        <v>45609.185488657407</v>
      </c>
      <c r="B42" s="2" t="s">
        <v>151</v>
      </c>
      <c r="C42" s="2" t="s">
        <v>152</v>
      </c>
      <c r="D42" s="2" t="s">
        <v>16</v>
      </c>
      <c r="E42" s="2" t="s">
        <v>16</v>
      </c>
      <c r="F42" s="2" t="s">
        <v>39</v>
      </c>
      <c r="G42" s="2" t="s">
        <v>79</v>
      </c>
      <c r="H42" s="2" t="s">
        <v>153</v>
      </c>
      <c r="I42" s="2" t="s">
        <v>127</v>
      </c>
      <c r="J42" s="2" t="s">
        <v>112</v>
      </c>
      <c r="K42" s="2" t="s">
        <v>154</v>
      </c>
      <c r="L42" s="2" t="s">
        <v>22</v>
      </c>
      <c r="M42" s="3">
        <v>22</v>
      </c>
    </row>
    <row r="43" spans="1:13" x14ac:dyDescent="0.25">
      <c r="A43" s="4">
        <v>45609.186851446764</v>
      </c>
      <c r="B43" s="5" t="s">
        <v>155</v>
      </c>
      <c r="C43" s="5" t="s">
        <v>156</v>
      </c>
      <c r="D43" s="5" t="s">
        <v>16</v>
      </c>
      <c r="E43" s="5" t="s">
        <v>16</v>
      </c>
      <c r="F43" s="5" t="s">
        <v>39</v>
      </c>
      <c r="G43" s="5" t="s">
        <v>17</v>
      </c>
      <c r="H43" s="5" t="s">
        <v>157</v>
      </c>
      <c r="I43" s="5" t="s">
        <v>127</v>
      </c>
      <c r="J43" s="5" t="s">
        <v>110</v>
      </c>
      <c r="K43" s="5" t="s">
        <v>158</v>
      </c>
      <c r="L43" s="5" t="s">
        <v>22</v>
      </c>
      <c r="M43" s="6">
        <v>24</v>
      </c>
    </row>
    <row r="44" spans="1:13" x14ac:dyDescent="0.25">
      <c r="A44" s="1">
        <v>45609.190904606483</v>
      </c>
      <c r="B44" s="2" t="s">
        <v>159</v>
      </c>
      <c r="C44" s="2" t="s">
        <v>67</v>
      </c>
      <c r="D44" s="2" t="s">
        <v>39</v>
      </c>
      <c r="E44" s="2" t="s">
        <v>16</v>
      </c>
      <c r="F44" s="2" t="s">
        <v>39</v>
      </c>
      <c r="G44" s="2" t="s">
        <v>79</v>
      </c>
      <c r="H44" s="2" t="s">
        <v>160</v>
      </c>
      <c r="I44" s="2" t="s">
        <v>127</v>
      </c>
      <c r="J44" s="2" t="s">
        <v>62</v>
      </c>
      <c r="K44" s="2" t="s">
        <v>134</v>
      </c>
      <c r="L44" s="2" t="s">
        <v>22</v>
      </c>
      <c r="M44" s="3">
        <v>21</v>
      </c>
    </row>
    <row r="45" spans="1:13" x14ac:dyDescent="0.25">
      <c r="A45" s="4">
        <v>45609.19882096065</v>
      </c>
      <c r="B45" s="5" t="s">
        <v>85</v>
      </c>
      <c r="C45" s="5" t="s">
        <v>161</v>
      </c>
      <c r="D45" s="5" t="s">
        <v>16</v>
      </c>
      <c r="E45" s="5" t="s">
        <v>39</v>
      </c>
      <c r="F45" s="5" t="s">
        <v>39</v>
      </c>
      <c r="G45" s="5" t="s">
        <v>17</v>
      </c>
      <c r="H45" s="5" t="s">
        <v>162</v>
      </c>
      <c r="I45" s="5" t="s">
        <v>127</v>
      </c>
      <c r="J45" s="5" t="s">
        <v>143</v>
      </c>
      <c r="K45" s="5" t="s">
        <v>137</v>
      </c>
      <c r="L45" s="5" t="s">
        <v>22</v>
      </c>
      <c r="M45" s="6">
        <v>23</v>
      </c>
    </row>
    <row r="46" spans="1:13" x14ac:dyDescent="0.25">
      <c r="A46" s="1">
        <v>45609.323680289352</v>
      </c>
      <c r="B46" s="2" t="s">
        <v>135</v>
      </c>
      <c r="C46" s="2" t="s">
        <v>141</v>
      </c>
      <c r="D46" s="2" t="s">
        <v>16</v>
      </c>
      <c r="E46" s="2" t="s">
        <v>15</v>
      </c>
      <c r="F46" s="2" t="s">
        <v>16</v>
      </c>
      <c r="G46" s="2" t="s">
        <v>17</v>
      </c>
      <c r="H46" s="2" t="s">
        <v>163</v>
      </c>
      <c r="I46" s="2" t="s">
        <v>127</v>
      </c>
      <c r="J46" s="2" t="s">
        <v>62</v>
      </c>
      <c r="K46" s="2" t="s">
        <v>137</v>
      </c>
      <c r="L46" s="2" t="s">
        <v>22</v>
      </c>
      <c r="M46" s="3">
        <v>21</v>
      </c>
    </row>
    <row r="47" spans="1:13" x14ac:dyDescent="0.25">
      <c r="A47" s="4">
        <v>45609.350548287039</v>
      </c>
      <c r="B47" s="5" t="s">
        <v>164</v>
      </c>
      <c r="C47" s="5" t="s">
        <v>165</v>
      </c>
      <c r="D47" s="5" t="s">
        <v>16</v>
      </c>
      <c r="E47" s="5" t="s">
        <v>16</v>
      </c>
      <c r="F47" s="5" t="s">
        <v>39</v>
      </c>
      <c r="G47" s="5" t="s">
        <v>17</v>
      </c>
      <c r="H47" s="5" t="s">
        <v>166</v>
      </c>
      <c r="I47" s="5" t="s">
        <v>127</v>
      </c>
      <c r="J47" s="5" t="s">
        <v>167</v>
      </c>
      <c r="K47" s="5" t="s">
        <v>168</v>
      </c>
      <c r="L47" s="5" t="s">
        <v>22</v>
      </c>
      <c r="M47" s="6">
        <v>22</v>
      </c>
    </row>
    <row r="48" spans="1:13" x14ac:dyDescent="0.25">
      <c r="A48" s="7">
        <v>45622.273607152776</v>
      </c>
      <c r="B48" s="8" t="s">
        <v>59</v>
      </c>
      <c r="C48" s="8" t="s">
        <v>33</v>
      </c>
      <c r="D48" s="8" t="s">
        <v>16</v>
      </c>
      <c r="E48" s="8" t="s">
        <v>16</v>
      </c>
      <c r="F48" s="8" t="s">
        <v>74</v>
      </c>
      <c r="G48" s="8" t="s">
        <v>17</v>
      </c>
      <c r="H48" s="8" t="s">
        <v>169</v>
      </c>
      <c r="I48" s="8" t="s">
        <v>127</v>
      </c>
      <c r="J48" s="8" t="s">
        <v>170</v>
      </c>
      <c r="K48" s="8" t="s">
        <v>134</v>
      </c>
      <c r="L48" s="8" t="s">
        <v>22</v>
      </c>
      <c r="M48" s="9">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FEB59-1206-4491-BDA2-9712975E1DD7}">
  <dimension ref="A1:AB49"/>
  <sheetViews>
    <sheetView workbookViewId="0">
      <selection activeCell="B8" sqref="B8"/>
    </sheetView>
  </sheetViews>
  <sheetFormatPr defaultColWidth="12.6328125" defaultRowHeight="12.5" x14ac:dyDescent="0.25"/>
  <cols>
    <col min="1" max="1" width="18.90625" customWidth="1"/>
    <col min="2" max="23" width="37.6328125" customWidth="1"/>
    <col min="24" max="24" width="27.453125" customWidth="1"/>
    <col min="25" max="25" width="32.36328125" customWidth="1"/>
    <col min="26" max="26" width="37.6328125" customWidth="1"/>
    <col min="27" max="27" width="20.453125" customWidth="1"/>
    <col min="28" max="34" width="18.90625" customWidth="1"/>
  </cols>
  <sheetData>
    <row r="1" spans="1:28" ht="15.75" customHeight="1" x14ac:dyDescent="0.3">
      <c r="A1" s="14" t="s">
        <v>0</v>
      </c>
      <c r="B1" s="14" t="s">
        <v>171</v>
      </c>
      <c r="C1" s="14" t="s">
        <v>172</v>
      </c>
      <c r="D1" s="14" t="s">
        <v>173</v>
      </c>
      <c r="E1" s="14" t="s">
        <v>174</v>
      </c>
      <c r="F1" s="14" t="s">
        <v>175</v>
      </c>
      <c r="G1" s="14" t="s">
        <v>176</v>
      </c>
      <c r="H1" s="14" t="s">
        <v>177</v>
      </c>
      <c r="I1" s="14" t="s">
        <v>178</v>
      </c>
      <c r="J1" s="14" t="s">
        <v>179</v>
      </c>
      <c r="K1" s="14" t="s">
        <v>180</v>
      </c>
      <c r="L1" s="14" t="s">
        <v>181</v>
      </c>
      <c r="M1" s="14" t="s">
        <v>182</v>
      </c>
      <c r="N1" s="14" t="s">
        <v>183</v>
      </c>
      <c r="O1" s="14" t="s">
        <v>184</v>
      </c>
      <c r="P1" s="14" t="s">
        <v>185</v>
      </c>
      <c r="Q1" s="14" t="s">
        <v>186</v>
      </c>
      <c r="R1" s="14" t="s">
        <v>176</v>
      </c>
      <c r="S1" s="14" t="s">
        <v>187</v>
      </c>
      <c r="T1" s="14" t="s">
        <v>188</v>
      </c>
      <c r="U1" s="14" t="s">
        <v>189</v>
      </c>
      <c r="V1" s="14" t="s">
        <v>190</v>
      </c>
      <c r="W1" s="14" t="s">
        <v>176</v>
      </c>
      <c r="X1" s="14" t="s">
        <v>8</v>
      </c>
      <c r="Y1" s="14" t="s">
        <v>191</v>
      </c>
      <c r="Z1" s="14" t="s">
        <v>192</v>
      </c>
      <c r="AA1" s="14" t="s">
        <v>11</v>
      </c>
      <c r="AB1" s="14" t="s">
        <v>12</v>
      </c>
    </row>
    <row r="2" spans="1:28" x14ac:dyDescent="0.25">
      <c r="A2" s="15">
        <v>45818.036412766203</v>
      </c>
      <c r="B2" s="14" t="s">
        <v>193</v>
      </c>
      <c r="C2" s="14" t="s">
        <v>194</v>
      </c>
      <c r="D2" s="14" t="s">
        <v>195</v>
      </c>
      <c r="E2" s="14" t="s">
        <v>196</v>
      </c>
      <c r="F2" s="14" t="s">
        <v>197</v>
      </c>
      <c r="G2" s="14" t="s">
        <v>198</v>
      </c>
      <c r="I2" s="14" t="s">
        <v>199</v>
      </c>
      <c r="K2" s="14" t="s">
        <v>15</v>
      </c>
      <c r="L2" s="14" t="s">
        <v>15</v>
      </c>
      <c r="M2" s="14" t="s">
        <v>100</v>
      </c>
      <c r="N2" s="14" t="s">
        <v>196</v>
      </c>
      <c r="P2" s="14" t="s">
        <v>17</v>
      </c>
      <c r="Q2" s="14" t="s">
        <v>200</v>
      </c>
      <c r="R2" s="14" t="s">
        <v>201</v>
      </c>
      <c r="S2" s="14" t="s">
        <v>202</v>
      </c>
      <c r="T2" s="14" t="s">
        <v>203</v>
      </c>
      <c r="U2" s="14" t="s">
        <v>204</v>
      </c>
      <c r="V2" s="14">
        <v>9</v>
      </c>
      <c r="W2" s="14" t="s">
        <v>205</v>
      </c>
      <c r="X2" s="14" t="s">
        <v>127</v>
      </c>
      <c r="Y2" s="14" t="s">
        <v>110</v>
      </c>
      <c r="Z2" s="14" t="s">
        <v>206</v>
      </c>
      <c r="AA2" s="14" t="s">
        <v>22</v>
      </c>
      <c r="AB2" s="14">
        <v>23</v>
      </c>
    </row>
    <row r="3" spans="1:28" x14ac:dyDescent="0.25">
      <c r="A3" s="15">
        <v>45818.067588680555</v>
      </c>
      <c r="B3" s="14" t="s">
        <v>193</v>
      </c>
      <c r="C3" s="14" t="s">
        <v>207</v>
      </c>
      <c r="D3" s="14" t="s">
        <v>208</v>
      </c>
      <c r="E3" s="14" t="s">
        <v>196</v>
      </c>
      <c r="F3" s="14" t="s">
        <v>197</v>
      </c>
      <c r="G3" s="14" t="s">
        <v>209</v>
      </c>
      <c r="I3" s="14" t="s">
        <v>199</v>
      </c>
      <c r="K3" s="14" t="s">
        <v>15</v>
      </c>
      <c r="L3" s="14" t="s">
        <v>15</v>
      </c>
      <c r="M3" s="14" t="s">
        <v>15</v>
      </c>
      <c r="N3" s="14" t="s">
        <v>196</v>
      </c>
      <c r="P3" s="14" t="s">
        <v>17</v>
      </c>
      <c r="Q3" s="14" t="s">
        <v>210</v>
      </c>
      <c r="R3" s="14" t="s">
        <v>211</v>
      </c>
      <c r="S3" s="14" t="s">
        <v>212</v>
      </c>
      <c r="T3" s="14" t="s">
        <v>213</v>
      </c>
      <c r="U3" s="14" t="s">
        <v>214</v>
      </c>
      <c r="V3" s="14">
        <v>10</v>
      </c>
      <c r="W3" s="14" t="s">
        <v>215</v>
      </c>
      <c r="X3" s="14" t="s">
        <v>127</v>
      </c>
      <c r="Y3" s="14" t="s">
        <v>143</v>
      </c>
      <c r="Z3" s="14" t="s">
        <v>134</v>
      </c>
      <c r="AA3" s="14" t="s">
        <v>22</v>
      </c>
      <c r="AB3" s="14">
        <v>23</v>
      </c>
    </row>
    <row r="4" spans="1:28" x14ac:dyDescent="0.25">
      <c r="A4" s="15">
        <v>45818.166085300923</v>
      </c>
      <c r="B4" s="14" t="s">
        <v>193</v>
      </c>
      <c r="C4" s="14" t="s">
        <v>216</v>
      </c>
      <c r="D4" s="14" t="s">
        <v>217</v>
      </c>
      <c r="E4" s="14" t="s">
        <v>196</v>
      </c>
      <c r="F4" s="14" t="s">
        <v>197</v>
      </c>
      <c r="G4" s="14" t="s">
        <v>218</v>
      </c>
      <c r="H4" s="14" t="s">
        <v>219</v>
      </c>
      <c r="I4" s="14" t="s">
        <v>196</v>
      </c>
      <c r="J4" s="14" t="s">
        <v>220</v>
      </c>
      <c r="K4" s="14" t="s">
        <v>100</v>
      </c>
      <c r="L4" s="14" t="s">
        <v>15</v>
      </c>
      <c r="M4" s="14" t="s">
        <v>15</v>
      </c>
      <c r="N4" s="14" t="s">
        <v>196</v>
      </c>
      <c r="O4" s="14" t="s">
        <v>221</v>
      </c>
      <c r="P4" s="14" t="s">
        <v>17</v>
      </c>
      <c r="Q4" s="14" t="s">
        <v>210</v>
      </c>
      <c r="R4" s="14" t="s">
        <v>222</v>
      </c>
      <c r="S4" s="14" t="s">
        <v>223</v>
      </c>
      <c r="T4" s="14" t="s">
        <v>224</v>
      </c>
      <c r="U4" s="14" t="s">
        <v>225</v>
      </c>
      <c r="V4" s="14">
        <v>10</v>
      </c>
      <c r="W4" s="14" t="s">
        <v>226</v>
      </c>
      <c r="X4" s="14" t="s">
        <v>127</v>
      </c>
      <c r="Y4" s="14" t="s">
        <v>133</v>
      </c>
      <c r="Z4" s="14" t="s">
        <v>128</v>
      </c>
      <c r="AA4" s="14" t="s">
        <v>22</v>
      </c>
      <c r="AB4" s="14">
        <v>23</v>
      </c>
    </row>
    <row r="5" spans="1:28" x14ac:dyDescent="0.25">
      <c r="A5" s="15">
        <v>45818.170697361114</v>
      </c>
      <c r="B5" s="14" t="s">
        <v>193</v>
      </c>
      <c r="C5" s="14" t="s">
        <v>227</v>
      </c>
      <c r="D5" s="14" t="s">
        <v>228</v>
      </c>
      <c r="E5" s="14" t="s">
        <v>196</v>
      </c>
      <c r="F5" s="14" t="s">
        <v>197</v>
      </c>
      <c r="G5" s="14" t="s">
        <v>229</v>
      </c>
      <c r="H5" s="14" t="s">
        <v>230</v>
      </c>
      <c r="I5" s="14" t="s">
        <v>196</v>
      </c>
      <c r="J5" s="14" t="s">
        <v>231</v>
      </c>
      <c r="K5" s="14" t="s">
        <v>100</v>
      </c>
      <c r="L5" s="14" t="s">
        <v>100</v>
      </c>
      <c r="M5" s="14" t="s">
        <v>100</v>
      </c>
      <c r="N5" s="14" t="s">
        <v>196</v>
      </c>
      <c r="P5" s="14" t="s">
        <v>17</v>
      </c>
      <c r="Q5" s="14" t="s">
        <v>232</v>
      </c>
      <c r="R5" s="14" t="s">
        <v>233</v>
      </c>
      <c r="S5" s="14" t="s">
        <v>234</v>
      </c>
      <c r="T5" s="14" t="s">
        <v>235</v>
      </c>
      <c r="U5" s="14" t="s">
        <v>230</v>
      </c>
      <c r="V5" s="14">
        <v>10</v>
      </c>
      <c r="W5" s="14" t="s">
        <v>236</v>
      </c>
      <c r="X5" s="14" t="s">
        <v>127</v>
      </c>
      <c r="Y5" s="14" t="s">
        <v>145</v>
      </c>
      <c r="Z5" s="14" t="s">
        <v>134</v>
      </c>
      <c r="AA5" s="14" t="s">
        <v>22</v>
      </c>
      <c r="AB5" s="14">
        <v>23</v>
      </c>
    </row>
    <row r="6" spans="1:28" x14ac:dyDescent="0.25">
      <c r="A6" s="15">
        <v>45818.232450462965</v>
      </c>
      <c r="B6" s="14" t="s">
        <v>193</v>
      </c>
      <c r="C6" s="14" t="s">
        <v>237</v>
      </c>
      <c r="D6" s="14" t="s">
        <v>238</v>
      </c>
      <c r="E6" s="14" t="s">
        <v>196</v>
      </c>
      <c r="F6" s="14" t="s">
        <v>197</v>
      </c>
      <c r="G6" s="14" t="s">
        <v>239</v>
      </c>
      <c r="H6" s="14" t="s">
        <v>240</v>
      </c>
      <c r="I6" s="14" t="s">
        <v>199</v>
      </c>
      <c r="K6" s="14" t="s">
        <v>15</v>
      </c>
      <c r="L6" s="14" t="s">
        <v>15</v>
      </c>
      <c r="M6" s="14" t="s">
        <v>16</v>
      </c>
      <c r="N6" s="14" t="s">
        <v>196</v>
      </c>
      <c r="O6" s="14" t="s">
        <v>241</v>
      </c>
      <c r="P6" s="14" t="s">
        <v>17</v>
      </c>
      <c r="Q6" s="14" t="s">
        <v>210</v>
      </c>
      <c r="R6" s="14" t="s">
        <v>242</v>
      </c>
      <c r="S6" s="14" t="s">
        <v>243</v>
      </c>
      <c r="T6" s="14" t="s">
        <v>244</v>
      </c>
      <c r="U6" s="14" t="s">
        <v>238</v>
      </c>
      <c r="V6" s="14">
        <v>10</v>
      </c>
      <c r="W6" s="14" t="s">
        <v>245</v>
      </c>
      <c r="X6" s="14" t="s">
        <v>127</v>
      </c>
      <c r="Y6" s="14" t="s">
        <v>62</v>
      </c>
      <c r="Z6" s="14" t="s">
        <v>137</v>
      </c>
      <c r="AA6" s="14" t="s">
        <v>22</v>
      </c>
      <c r="AB6" s="14">
        <v>24</v>
      </c>
    </row>
    <row r="7" spans="1:28" x14ac:dyDescent="0.25">
      <c r="A7" s="15">
        <v>45818.297310428243</v>
      </c>
      <c r="B7" s="14" t="s">
        <v>246</v>
      </c>
      <c r="C7" s="14" t="s">
        <v>247</v>
      </c>
      <c r="D7" s="14" t="s">
        <v>248</v>
      </c>
      <c r="E7" s="14" t="s">
        <v>196</v>
      </c>
      <c r="F7" s="14" t="s">
        <v>249</v>
      </c>
      <c r="G7" s="14" t="s">
        <v>250</v>
      </c>
      <c r="H7" s="14" t="s">
        <v>251</v>
      </c>
      <c r="I7" s="14" t="s">
        <v>196</v>
      </c>
      <c r="J7" s="14" t="s">
        <v>252</v>
      </c>
      <c r="K7" s="14" t="s">
        <v>100</v>
      </c>
      <c r="L7" s="14" t="s">
        <v>100</v>
      </c>
      <c r="M7" s="14" t="s">
        <v>100</v>
      </c>
      <c r="N7" s="14" t="s">
        <v>199</v>
      </c>
      <c r="P7" s="14" t="s">
        <v>17</v>
      </c>
      <c r="Q7" s="14" t="s">
        <v>200</v>
      </c>
      <c r="R7" s="14" t="s">
        <v>253</v>
      </c>
      <c r="S7" s="14" t="s">
        <v>254</v>
      </c>
      <c r="T7" s="14" t="s">
        <v>255</v>
      </c>
      <c r="U7" s="14" t="s">
        <v>256</v>
      </c>
      <c r="V7" s="14">
        <v>10</v>
      </c>
      <c r="W7" s="14" t="s">
        <v>257</v>
      </c>
      <c r="X7" s="14" t="s">
        <v>127</v>
      </c>
      <c r="Y7" s="14" t="s">
        <v>145</v>
      </c>
      <c r="Z7" s="14" t="s">
        <v>134</v>
      </c>
      <c r="AA7" s="14" t="s">
        <v>22</v>
      </c>
      <c r="AB7" s="14">
        <v>23</v>
      </c>
    </row>
    <row r="8" spans="1:28" x14ac:dyDescent="0.25">
      <c r="A8" s="15">
        <v>45818.525693819443</v>
      </c>
      <c r="B8" s="14" t="s">
        <v>258</v>
      </c>
      <c r="C8" s="14" t="s">
        <v>259</v>
      </c>
      <c r="D8" s="14" t="s">
        <v>260</v>
      </c>
      <c r="E8" s="14" t="s">
        <v>196</v>
      </c>
      <c r="F8" s="14" t="s">
        <v>197</v>
      </c>
      <c r="G8" s="14" t="s">
        <v>261</v>
      </c>
      <c r="H8" s="14" t="s">
        <v>262</v>
      </c>
      <c r="I8" s="14" t="s">
        <v>199</v>
      </c>
      <c r="K8" s="14" t="s">
        <v>15</v>
      </c>
      <c r="L8" s="14" t="s">
        <v>15</v>
      </c>
      <c r="M8" s="14" t="s">
        <v>15</v>
      </c>
      <c r="N8" s="14" t="s">
        <v>196</v>
      </c>
      <c r="P8" s="14" t="s">
        <v>17</v>
      </c>
      <c r="Q8" s="14" t="s">
        <v>200</v>
      </c>
      <c r="R8" s="14" t="s">
        <v>263</v>
      </c>
      <c r="S8" s="14" t="s">
        <v>202</v>
      </c>
      <c r="T8" s="14" t="s">
        <v>264</v>
      </c>
      <c r="U8" s="14" t="s">
        <v>265</v>
      </c>
      <c r="V8" s="14">
        <v>10</v>
      </c>
      <c r="W8" s="14" t="s">
        <v>266</v>
      </c>
      <c r="X8" s="14" t="s">
        <v>127</v>
      </c>
      <c r="Y8" s="14" t="s">
        <v>112</v>
      </c>
      <c r="Z8" s="14" t="s">
        <v>267</v>
      </c>
      <c r="AA8" s="14" t="s">
        <v>22</v>
      </c>
      <c r="AB8" s="14">
        <v>23</v>
      </c>
    </row>
    <row r="9" spans="1:28" x14ac:dyDescent="0.25">
      <c r="A9" s="15">
        <v>45818.557955462966</v>
      </c>
      <c r="B9" s="14" t="s">
        <v>193</v>
      </c>
      <c r="C9" s="14" t="s">
        <v>258</v>
      </c>
      <c r="D9" s="14" t="s">
        <v>268</v>
      </c>
      <c r="E9" s="14" t="s">
        <v>196</v>
      </c>
      <c r="F9" s="14" t="s">
        <v>197</v>
      </c>
      <c r="G9" s="14" t="s">
        <v>269</v>
      </c>
      <c r="H9" s="14" t="s">
        <v>268</v>
      </c>
      <c r="I9" s="14" t="s">
        <v>199</v>
      </c>
      <c r="J9" s="14" t="s">
        <v>270</v>
      </c>
      <c r="K9" s="14" t="s">
        <v>16</v>
      </c>
      <c r="L9" s="14" t="s">
        <v>16</v>
      </c>
      <c r="M9" s="14" t="s">
        <v>16</v>
      </c>
      <c r="N9" s="14" t="s">
        <v>196</v>
      </c>
      <c r="O9" s="14" t="s">
        <v>271</v>
      </c>
      <c r="P9" s="14" t="s">
        <v>17</v>
      </c>
      <c r="Q9" s="14" t="s">
        <v>232</v>
      </c>
      <c r="R9" s="14" t="s">
        <v>272</v>
      </c>
      <c r="S9" s="14" t="s">
        <v>273</v>
      </c>
      <c r="T9" s="14" t="s">
        <v>274</v>
      </c>
      <c r="U9" s="14" t="s">
        <v>268</v>
      </c>
      <c r="V9" s="14">
        <v>7</v>
      </c>
      <c r="W9" s="14" t="s">
        <v>275</v>
      </c>
      <c r="X9" s="14" t="s">
        <v>127</v>
      </c>
      <c r="Y9" s="14" t="s">
        <v>110</v>
      </c>
      <c r="Z9" s="14" t="s">
        <v>276</v>
      </c>
      <c r="AA9" s="14" t="s">
        <v>22</v>
      </c>
      <c r="AB9" s="14">
        <v>25</v>
      </c>
    </row>
    <row r="10" spans="1:28" x14ac:dyDescent="0.25">
      <c r="A10" s="15">
        <v>45818.584104398149</v>
      </c>
      <c r="B10" s="14" t="s">
        <v>277</v>
      </c>
      <c r="C10" s="14" t="s">
        <v>278</v>
      </c>
      <c r="D10" s="14" t="s">
        <v>279</v>
      </c>
      <c r="E10" s="14" t="s">
        <v>196</v>
      </c>
      <c r="F10" s="14" t="s">
        <v>249</v>
      </c>
      <c r="G10" s="14" t="s">
        <v>280</v>
      </c>
      <c r="I10" s="14" t="s">
        <v>199</v>
      </c>
      <c r="K10" s="14" t="s">
        <v>15</v>
      </c>
      <c r="L10" s="14" t="s">
        <v>15</v>
      </c>
      <c r="M10" s="14" t="s">
        <v>15</v>
      </c>
      <c r="N10" s="14" t="s">
        <v>196</v>
      </c>
      <c r="P10" s="14" t="s">
        <v>17</v>
      </c>
      <c r="Q10" s="14" t="s">
        <v>200</v>
      </c>
      <c r="R10" s="14" t="s">
        <v>281</v>
      </c>
      <c r="S10" s="14" t="s">
        <v>282</v>
      </c>
      <c r="T10" s="14" t="s">
        <v>283</v>
      </c>
      <c r="U10" s="14" t="s">
        <v>284</v>
      </c>
      <c r="V10" s="14">
        <v>9</v>
      </c>
      <c r="W10" s="14" t="s">
        <v>285</v>
      </c>
      <c r="X10" s="14" t="s">
        <v>127</v>
      </c>
      <c r="Y10" s="14" t="s">
        <v>110</v>
      </c>
      <c r="Z10" s="14" t="s">
        <v>134</v>
      </c>
      <c r="AA10" s="14" t="s">
        <v>22</v>
      </c>
      <c r="AB10" s="14">
        <v>24</v>
      </c>
    </row>
    <row r="11" spans="1:28" x14ac:dyDescent="0.25">
      <c r="A11" s="15">
        <v>45819.110831400467</v>
      </c>
      <c r="B11" s="14" t="s">
        <v>193</v>
      </c>
      <c r="C11" s="14" t="s">
        <v>286</v>
      </c>
      <c r="D11" s="14" t="s">
        <v>287</v>
      </c>
      <c r="E11" s="14" t="s">
        <v>196</v>
      </c>
      <c r="F11" s="14" t="s">
        <v>197</v>
      </c>
      <c r="G11" s="14" t="s">
        <v>288</v>
      </c>
      <c r="H11" s="14" t="s">
        <v>289</v>
      </c>
      <c r="I11" s="14" t="s">
        <v>196</v>
      </c>
      <c r="J11" s="14" t="s">
        <v>290</v>
      </c>
      <c r="K11" s="14" t="s">
        <v>16</v>
      </c>
      <c r="L11" s="14" t="s">
        <v>16</v>
      </c>
      <c r="M11" s="14" t="s">
        <v>16</v>
      </c>
      <c r="N11" s="14" t="s">
        <v>196</v>
      </c>
      <c r="P11" s="14" t="s">
        <v>17</v>
      </c>
      <c r="Q11" s="14" t="s">
        <v>210</v>
      </c>
      <c r="R11" s="14" t="s">
        <v>291</v>
      </c>
      <c r="S11" s="14" t="s">
        <v>292</v>
      </c>
      <c r="T11" s="14" t="s">
        <v>293</v>
      </c>
      <c r="U11" s="14" t="s">
        <v>294</v>
      </c>
      <c r="V11" s="14">
        <v>10</v>
      </c>
      <c r="W11" s="14" t="s">
        <v>295</v>
      </c>
      <c r="X11" s="14" t="s">
        <v>127</v>
      </c>
      <c r="Y11" s="14" t="s">
        <v>296</v>
      </c>
      <c r="Z11" s="14" t="s">
        <v>297</v>
      </c>
      <c r="AA11" s="14" t="s">
        <v>22</v>
      </c>
      <c r="AB11" s="14">
        <v>23</v>
      </c>
    </row>
    <row r="12" spans="1:28" x14ac:dyDescent="0.25">
      <c r="A12" s="15">
        <v>45819.581619722223</v>
      </c>
      <c r="B12" s="14" t="s">
        <v>193</v>
      </c>
      <c r="C12" s="14" t="s">
        <v>298</v>
      </c>
      <c r="D12" s="14" t="s">
        <v>299</v>
      </c>
      <c r="E12" s="14" t="s">
        <v>196</v>
      </c>
      <c r="F12" s="14" t="s">
        <v>197</v>
      </c>
      <c r="G12" s="14" t="s">
        <v>300</v>
      </c>
      <c r="H12" s="14" t="s">
        <v>301</v>
      </c>
      <c r="I12" s="14" t="s">
        <v>199</v>
      </c>
      <c r="K12" s="14" t="s">
        <v>15</v>
      </c>
      <c r="L12" s="14" t="s">
        <v>16</v>
      </c>
      <c r="M12" s="14" t="s">
        <v>15</v>
      </c>
      <c r="N12" s="14" t="s">
        <v>196</v>
      </c>
      <c r="P12" s="14" t="s">
        <v>17</v>
      </c>
      <c r="Q12" s="14" t="s">
        <v>232</v>
      </c>
      <c r="R12" s="14" t="s">
        <v>302</v>
      </c>
      <c r="S12" s="14" t="s">
        <v>234</v>
      </c>
      <c r="T12" s="14" t="s">
        <v>303</v>
      </c>
      <c r="U12" s="14" t="s">
        <v>199</v>
      </c>
      <c r="V12" s="14">
        <v>10</v>
      </c>
      <c r="W12" s="14" t="s">
        <v>304</v>
      </c>
      <c r="X12" s="14" t="s">
        <v>127</v>
      </c>
      <c r="Y12" s="14" t="s">
        <v>62</v>
      </c>
      <c r="Z12" s="14" t="s">
        <v>137</v>
      </c>
      <c r="AA12" s="14" t="s">
        <v>22</v>
      </c>
      <c r="AB12" s="14">
        <v>22</v>
      </c>
    </row>
    <row r="13" spans="1:28" x14ac:dyDescent="0.25">
      <c r="A13" s="15">
        <v>45824.249796759264</v>
      </c>
      <c r="B13" s="14" t="s">
        <v>305</v>
      </c>
      <c r="C13" s="14" t="s">
        <v>306</v>
      </c>
      <c r="D13" s="14" t="s">
        <v>307</v>
      </c>
      <c r="E13" s="14" t="s">
        <v>196</v>
      </c>
      <c r="F13" s="14" t="s">
        <v>197</v>
      </c>
      <c r="G13" s="14" t="s">
        <v>308</v>
      </c>
      <c r="H13" s="14" t="s">
        <v>230</v>
      </c>
      <c r="I13" s="14" t="s">
        <v>199</v>
      </c>
      <c r="J13" s="14" t="s">
        <v>199</v>
      </c>
      <c r="K13" s="14" t="s">
        <v>100</v>
      </c>
      <c r="L13" s="14" t="s">
        <v>15</v>
      </c>
      <c r="M13" s="14" t="s">
        <v>100</v>
      </c>
      <c r="N13" s="14" t="s">
        <v>309</v>
      </c>
      <c r="P13" s="14" t="s">
        <v>17</v>
      </c>
      <c r="Q13" s="14" t="s">
        <v>232</v>
      </c>
      <c r="R13" s="14" t="s">
        <v>310</v>
      </c>
      <c r="S13" s="14" t="s">
        <v>311</v>
      </c>
      <c r="T13" s="14" t="s">
        <v>230</v>
      </c>
      <c r="U13" s="14" t="s">
        <v>312</v>
      </c>
      <c r="V13" s="14">
        <v>10</v>
      </c>
      <c r="W13" s="14" t="s">
        <v>313</v>
      </c>
      <c r="X13" s="14" t="s">
        <v>127</v>
      </c>
      <c r="Y13" s="14" t="s">
        <v>314</v>
      </c>
      <c r="Z13" s="14" t="s">
        <v>137</v>
      </c>
      <c r="AA13" s="14" t="s">
        <v>22</v>
      </c>
      <c r="AB13" s="14">
        <v>23</v>
      </c>
    </row>
    <row r="14" spans="1:28" x14ac:dyDescent="0.25">
      <c r="A14" s="15">
        <v>45831.279504305552</v>
      </c>
      <c r="B14" s="14" t="s">
        <v>193</v>
      </c>
      <c r="C14" s="14" t="s">
        <v>315</v>
      </c>
      <c r="D14" s="14" t="s">
        <v>316</v>
      </c>
      <c r="E14" s="14" t="s">
        <v>196</v>
      </c>
      <c r="F14" s="14" t="s">
        <v>197</v>
      </c>
      <c r="G14" s="14" t="s">
        <v>317</v>
      </c>
      <c r="H14" s="14" t="s">
        <v>318</v>
      </c>
      <c r="I14" s="14" t="s">
        <v>199</v>
      </c>
      <c r="J14" s="14" t="s">
        <v>319</v>
      </c>
      <c r="K14" s="14" t="s">
        <v>100</v>
      </c>
      <c r="L14" s="14" t="s">
        <v>15</v>
      </c>
      <c r="M14" s="14" t="s">
        <v>100</v>
      </c>
      <c r="N14" s="14" t="s">
        <v>196</v>
      </c>
      <c r="O14" s="14" t="s">
        <v>320</v>
      </c>
      <c r="P14" s="14" t="s">
        <v>17</v>
      </c>
      <c r="Q14" s="14" t="s">
        <v>200</v>
      </c>
      <c r="R14" s="14" t="s">
        <v>321</v>
      </c>
      <c r="S14" s="14" t="s">
        <v>322</v>
      </c>
      <c r="T14" s="14" t="s">
        <v>323</v>
      </c>
      <c r="U14" s="14" t="s">
        <v>230</v>
      </c>
      <c r="V14" s="14">
        <v>10</v>
      </c>
      <c r="W14" s="14" t="s">
        <v>324</v>
      </c>
      <c r="X14" s="14" t="s">
        <v>127</v>
      </c>
      <c r="Y14" s="14" t="s">
        <v>325</v>
      </c>
      <c r="Z14" s="14" t="s">
        <v>326</v>
      </c>
      <c r="AA14" s="14" t="s">
        <v>22</v>
      </c>
      <c r="AB14" s="14">
        <v>24</v>
      </c>
    </row>
    <row r="15" spans="1:28" x14ac:dyDescent="0.25">
      <c r="A15" s="15">
        <v>45831.304745381945</v>
      </c>
      <c r="B15" s="14" t="s">
        <v>193</v>
      </c>
      <c r="C15" s="14" t="s">
        <v>327</v>
      </c>
      <c r="D15" s="14" t="s">
        <v>328</v>
      </c>
      <c r="E15" s="14" t="s">
        <v>196</v>
      </c>
      <c r="F15" s="14" t="s">
        <v>197</v>
      </c>
      <c r="G15" s="14" t="s">
        <v>329</v>
      </c>
      <c r="H15" s="14" t="s">
        <v>330</v>
      </c>
      <c r="I15" s="14" t="s">
        <v>199</v>
      </c>
      <c r="K15" s="14" t="s">
        <v>16</v>
      </c>
      <c r="L15" s="14" t="s">
        <v>16</v>
      </c>
      <c r="M15" s="14" t="s">
        <v>16</v>
      </c>
      <c r="N15" s="14" t="s">
        <v>199</v>
      </c>
      <c r="P15" s="14" t="s">
        <v>17</v>
      </c>
      <c r="Q15" s="14" t="s">
        <v>200</v>
      </c>
      <c r="R15" s="14" t="s">
        <v>331</v>
      </c>
      <c r="S15" s="14" t="s">
        <v>332</v>
      </c>
      <c r="T15" s="14" t="s">
        <v>333</v>
      </c>
      <c r="U15" s="14" t="s">
        <v>330</v>
      </c>
      <c r="V15" s="14">
        <v>9</v>
      </c>
      <c r="W15" s="14" t="s">
        <v>334</v>
      </c>
      <c r="X15" s="14" t="s">
        <v>127</v>
      </c>
      <c r="Y15" s="14" t="s">
        <v>147</v>
      </c>
      <c r="Z15" s="14" t="s">
        <v>137</v>
      </c>
      <c r="AA15" s="14" t="s">
        <v>22</v>
      </c>
      <c r="AB15" s="14">
        <v>23</v>
      </c>
    </row>
    <row r="16" spans="1:28" x14ac:dyDescent="0.25">
      <c r="A16" s="15">
        <v>45831.472982569445</v>
      </c>
      <c r="B16" s="14" t="s">
        <v>335</v>
      </c>
      <c r="C16" s="14" t="s">
        <v>336</v>
      </c>
      <c r="D16" s="14" t="s">
        <v>337</v>
      </c>
      <c r="E16" s="14" t="s">
        <v>196</v>
      </c>
      <c r="F16" s="14" t="s">
        <v>197</v>
      </c>
      <c r="G16" s="14" t="s">
        <v>338</v>
      </c>
      <c r="H16" s="14" t="s">
        <v>339</v>
      </c>
      <c r="I16" s="14" t="s">
        <v>196</v>
      </c>
      <c r="J16" s="14" t="s">
        <v>340</v>
      </c>
      <c r="K16" s="14" t="s">
        <v>15</v>
      </c>
      <c r="L16" s="14" t="s">
        <v>15</v>
      </c>
      <c r="M16" s="14" t="s">
        <v>100</v>
      </c>
      <c r="N16" s="14" t="s">
        <v>196</v>
      </c>
      <c r="O16" s="14" t="s">
        <v>341</v>
      </c>
      <c r="P16" s="14" t="s">
        <v>17</v>
      </c>
      <c r="Q16" s="14" t="s">
        <v>232</v>
      </c>
      <c r="R16" s="14" t="s">
        <v>342</v>
      </c>
      <c r="S16" s="14" t="s">
        <v>343</v>
      </c>
      <c r="T16" s="14" t="s">
        <v>344</v>
      </c>
      <c r="U16" s="14" t="s">
        <v>238</v>
      </c>
      <c r="V16" s="14">
        <v>10</v>
      </c>
      <c r="W16" s="14" t="s">
        <v>345</v>
      </c>
      <c r="X16" s="14" t="s">
        <v>127</v>
      </c>
      <c r="Y16" s="14" t="s">
        <v>346</v>
      </c>
      <c r="Z16" s="14" t="s">
        <v>347</v>
      </c>
      <c r="AA16" s="14" t="s">
        <v>22</v>
      </c>
      <c r="AB16" s="14">
        <v>24</v>
      </c>
    </row>
    <row r="17" spans="1:28" x14ac:dyDescent="0.25">
      <c r="A17" s="15">
        <v>45832.176326967594</v>
      </c>
      <c r="B17" s="14" t="s">
        <v>277</v>
      </c>
      <c r="C17" s="14" t="s">
        <v>348</v>
      </c>
      <c r="D17" s="14" t="s">
        <v>349</v>
      </c>
      <c r="E17" s="14" t="s">
        <v>196</v>
      </c>
      <c r="F17" s="14" t="s">
        <v>197</v>
      </c>
      <c r="G17" s="14" t="s">
        <v>350</v>
      </c>
      <c r="H17" s="14" t="s">
        <v>351</v>
      </c>
      <c r="I17" s="14" t="s">
        <v>199</v>
      </c>
      <c r="K17" s="14" t="s">
        <v>100</v>
      </c>
      <c r="L17" s="14" t="s">
        <v>100</v>
      </c>
      <c r="M17" s="14" t="s">
        <v>15</v>
      </c>
      <c r="N17" s="14" t="s">
        <v>196</v>
      </c>
      <c r="O17" s="14" t="s">
        <v>352</v>
      </c>
      <c r="P17" s="14" t="s">
        <v>17</v>
      </c>
      <c r="Q17" s="14" t="s">
        <v>232</v>
      </c>
      <c r="R17" s="14" t="s">
        <v>353</v>
      </c>
      <c r="S17" s="14" t="s">
        <v>354</v>
      </c>
      <c r="T17" s="14" t="s">
        <v>355</v>
      </c>
      <c r="U17" s="14" t="s">
        <v>356</v>
      </c>
      <c r="V17" s="14">
        <v>9</v>
      </c>
      <c r="W17" s="14" t="s">
        <v>357</v>
      </c>
      <c r="X17" s="14" t="s">
        <v>127</v>
      </c>
      <c r="Y17" s="14" t="s">
        <v>62</v>
      </c>
      <c r="Z17" s="14" t="s">
        <v>358</v>
      </c>
      <c r="AA17" s="14" t="s">
        <v>22</v>
      </c>
      <c r="AB17" s="14">
        <v>24</v>
      </c>
    </row>
    <row r="18" spans="1:28" x14ac:dyDescent="0.25">
      <c r="A18" s="15">
        <v>45832.188287442128</v>
      </c>
      <c r="B18" s="14" t="s">
        <v>193</v>
      </c>
      <c r="C18" s="14" t="s">
        <v>305</v>
      </c>
      <c r="D18" s="14" t="s">
        <v>359</v>
      </c>
      <c r="E18" s="14" t="s">
        <v>196</v>
      </c>
      <c r="F18" s="14" t="s">
        <v>197</v>
      </c>
      <c r="G18" s="14" t="s">
        <v>360</v>
      </c>
      <c r="I18" s="14" t="s">
        <v>199</v>
      </c>
      <c r="J18" s="14" t="s">
        <v>361</v>
      </c>
      <c r="K18" s="14" t="s">
        <v>15</v>
      </c>
      <c r="L18" s="14" t="s">
        <v>15</v>
      </c>
      <c r="M18" s="14" t="s">
        <v>100</v>
      </c>
      <c r="N18" s="14" t="s">
        <v>196</v>
      </c>
      <c r="O18" s="14" t="s">
        <v>362</v>
      </c>
      <c r="P18" s="14" t="s">
        <v>17</v>
      </c>
      <c r="Q18" s="14" t="s">
        <v>210</v>
      </c>
      <c r="R18" s="14" t="s">
        <v>360</v>
      </c>
      <c r="S18" s="14" t="s">
        <v>363</v>
      </c>
      <c r="T18" s="14" t="s">
        <v>360</v>
      </c>
      <c r="U18" s="14" t="s">
        <v>364</v>
      </c>
      <c r="V18" s="14">
        <v>9</v>
      </c>
      <c r="W18" s="14" t="s">
        <v>365</v>
      </c>
      <c r="X18" s="14" t="s">
        <v>127</v>
      </c>
      <c r="Y18" s="14" t="s">
        <v>112</v>
      </c>
      <c r="Z18" s="14" t="s">
        <v>137</v>
      </c>
      <c r="AA18" s="14" t="s">
        <v>22</v>
      </c>
      <c r="AB18" s="14">
        <v>23</v>
      </c>
    </row>
    <row r="19" spans="1:28" x14ac:dyDescent="0.25">
      <c r="A19" s="15">
        <v>45832.214416145835</v>
      </c>
      <c r="B19" s="14" t="s">
        <v>193</v>
      </c>
      <c r="C19" s="14" t="s">
        <v>366</v>
      </c>
      <c r="D19" s="14" t="s">
        <v>367</v>
      </c>
      <c r="E19" s="14" t="s">
        <v>196</v>
      </c>
      <c r="F19" s="14" t="s">
        <v>368</v>
      </c>
      <c r="G19" s="14" t="s">
        <v>369</v>
      </c>
      <c r="H19" s="14" t="s">
        <v>370</v>
      </c>
      <c r="I19" s="14" t="s">
        <v>199</v>
      </c>
      <c r="K19" s="14" t="s">
        <v>15</v>
      </c>
      <c r="L19" s="14" t="s">
        <v>15</v>
      </c>
      <c r="M19" s="14" t="s">
        <v>100</v>
      </c>
      <c r="N19" s="14" t="s">
        <v>196</v>
      </c>
      <c r="P19" s="14" t="s">
        <v>17</v>
      </c>
      <c r="Q19" s="14" t="s">
        <v>210</v>
      </c>
      <c r="R19" s="14" t="s">
        <v>371</v>
      </c>
      <c r="S19" s="14" t="s">
        <v>372</v>
      </c>
      <c r="T19" s="14" t="s">
        <v>230</v>
      </c>
      <c r="U19" s="14" t="s">
        <v>230</v>
      </c>
      <c r="V19" s="14">
        <v>10</v>
      </c>
      <c r="W19" s="14" t="s">
        <v>373</v>
      </c>
      <c r="X19" s="14" t="s">
        <v>127</v>
      </c>
      <c r="Y19" s="14" t="s">
        <v>62</v>
      </c>
      <c r="Z19" s="14" t="s">
        <v>137</v>
      </c>
      <c r="AA19" s="14" t="s">
        <v>31</v>
      </c>
      <c r="AB19" s="14">
        <v>21</v>
      </c>
    </row>
    <row r="20" spans="1:28" x14ac:dyDescent="0.25">
      <c r="A20" s="15">
        <v>45832.248923946754</v>
      </c>
      <c r="B20" s="14" t="s">
        <v>193</v>
      </c>
      <c r="C20" s="14" t="s">
        <v>374</v>
      </c>
      <c r="D20" s="14" t="s">
        <v>375</v>
      </c>
      <c r="E20" s="14" t="s">
        <v>196</v>
      </c>
      <c r="F20" s="14" t="s">
        <v>197</v>
      </c>
      <c r="G20" s="14" t="s">
        <v>376</v>
      </c>
      <c r="H20" s="14" t="s">
        <v>377</v>
      </c>
      <c r="I20" s="14" t="s">
        <v>196</v>
      </c>
      <c r="J20" s="14" t="s">
        <v>378</v>
      </c>
      <c r="K20" s="14" t="s">
        <v>15</v>
      </c>
      <c r="L20" s="14" t="s">
        <v>15</v>
      </c>
      <c r="M20" s="14" t="s">
        <v>100</v>
      </c>
      <c r="N20" s="14" t="s">
        <v>196</v>
      </c>
      <c r="O20" s="14" t="s">
        <v>379</v>
      </c>
      <c r="P20" s="14" t="s">
        <v>17</v>
      </c>
      <c r="Q20" s="14" t="s">
        <v>232</v>
      </c>
      <c r="R20" s="14" t="s">
        <v>380</v>
      </c>
      <c r="S20" s="14" t="s">
        <v>354</v>
      </c>
      <c r="T20" s="14" t="s">
        <v>381</v>
      </c>
      <c r="U20" s="14" t="s">
        <v>382</v>
      </c>
      <c r="V20" s="14">
        <v>8</v>
      </c>
      <c r="W20" s="14" t="s">
        <v>383</v>
      </c>
      <c r="X20" s="14" t="s">
        <v>127</v>
      </c>
      <c r="Y20" s="14" t="s">
        <v>384</v>
      </c>
      <c r="Z20" s="14" t="s">
        <v>128</v>
      </c>
      <c r="AA20" s="14" t="s">
        <v>22</v>
      </c>
      <c r="AB20" s="14">
        <v>23</v>
      </c>
    </row>
    <row r="21" spans="1:28" x14ac:dyDescent="0.25">
      <c r="A21" s="15">
        <v>45833.085007071757</v>
      </c>
      <c r="B21" s="14" t="s">
        <v>193</v>
      </c>
      <c r="C21" s="14" t="s">
        <v>385</v>
      </c>
      <c r="D21" s="14" t="s">
        <v>386</v>
      </c>
      <c r="E21" s="14" t="s">
        <v>196</v>
      </c>
      <c r="F21" s="14" t="s">
        <v>197</v>
      </c>
      <c r="G21" s="14" t="s">
        <v>387</v>
      </c>
      <c r="H21" s="14" t="s">
        <v>388</v>
      </c>
      <c r="I21" s="14" t="s">
        <v>199</v>
      </c>
      <c r="K21" s="14" t="s">
        <v>15</v>
      </c>
      <c r="L21" s="14" t="s">
        <v>15</v>
      </c>
      <c r="M21" s="14" t="s">
        <v>15</v>
      </c>
      <c r="N21" s="14" t="s">
        <v>196</v>
      </c>
      <c r="O21" s="14" t="s">
        <v>389</v>
      </c>
      <c r="P21" s="14" t="s">
        <v>17</v>
      </c>
      <c r="Q21" s="14" t="s">
        <v>232</v>
      </c>
      <c r="R21" s="14" t="s">
        <v>390</v>
      </c>
      <c r="S21" s="14" t="s">
        <v>311</v>
      </c>
      <c r="T21" s="14" t="s">
        <v>391</v>
      </c>
      <c r="U21" s="14" t="s">
        <v>392</v>
      </c>
      <c r="V21" s="14">
        <v>10</v>
      </c>
      <c r="W21" s="14" t="s">
        <v>393</v>
      </c>
      <c r="X21" s="14" t="s">
        <v>127</v>
      </c>
      <c r="Y21" s="14" t="s">
        <v>62</v>
      </c>
      <c r="Z21" s="14" t="s">
        <v>394</v>
      </c>
      <c r="AA21" s="14" t="s">
        <v>31</v>
      </c>
      <c r="AB21" s="14">
        <v>24</v>
      </c>
    </row>
    <row r="22" spans="1:28" x14ac:dyDescent="0.25">
      <c r="A22" s="15">
        <v>45833.477097280091</v>
      </c>
      <c r="B22" s="14" t="s">
        <v>193</v>
      </c>
      <c r="C22" s="14" t="s">
        <v>395</v>
      </c>
      <c r="D22" s="14" t="s">
        <v>396</v>
      </c>
      <c r="E22" s="14" t="s">
        <v>196</v>
      </c>
      <c r="F22" s="14" t="s">
        <v>197</v>
      </c>
      <c r="G22" s="14" t="s">
        <v>397</v>
      </c>
      <c r="H22" s="14" t="s">
        <v>398</v>
      </c>
      <c r="I22" s="14" t="s">
        <v>199</v>
      </c>
      <c r="K22" s="14" t="s">
        <v>100</v>
      </c>
      <c r="L22" s="14" t="s">
        <v>100</v>
      </c>
      <c r="M22" s="14" t="s">
        <v>100</v>
      </c>
      <c r="N22" s="14" t="s">
        <v>196</v>
      </c>
      <c r="O22" s="14" t="s">
        <v>399</v>
      </c>
      <c r="P22" s="14" t="s">
        <v>17</v>
      </c>
      <c r="Q22" s="14" t="s">
        <v>210</v>
      </c>
      <c r="R22" s="14" t="s">
        <v>400</v>
      </c>
      <c r="S22" s="14" t="s">
        <v>332</v>
      </c>
      <c r="T22" s="14" t="s">
        <v>401</v>
      </c>
      <c r="U22" s="14" t="s">
        <v>268</v>
      </c>
      <c r="V22" s="14">
        <v>10</v>
      </c>
      <c r="W22" s="14" t="s">
        <v>402</v>
      </c>
      <c r="X22" s="14" t="s">
        <v>19</v>
      </c>
      <c r="Y22" s="14" t="s">
        <v>403</v>
      </c>
      <c r="Z22" s="14" t="s">
        <v>36</v>
      </c>
      <c r="AA22" s="14" t="s">
        <v>22</v>
      </c>
      <c r="AB22" s="14">
        <v>22</v>
      </c>
    </row>
    <row r="23" spans="1:28" x14ac:dyDescent="0.25">
      <c r="A23" s="15">
        <v>45833.479371388894</v>
      </c>
      <c r="B23" s="14" t="s">
        <v>193</v>
      </c>
      <c r="C23" s="14" t="s">
        <v>404</v>
      </c>
      <c r="D23" s="14" t="s">
        <v>405</v>
      </c>
      <c r="E23" s="14" t="s">
        <v>196</v>
      </c>
      <c r="F23" s="14" t="s">
        <v>197</v>
      </c>
      <c r="G23" s="14" t="s">
        <v>406</v>
      </c>
      <c r="H23" s="14" t="s">
        <v>407</v>
      </c>
      <c r="I23" s="14" t="s">
        <v>199</v>
      </c>
      <c r="K23" s="14" t="s">
        <v>100</v>
      </c>
      <c r="L23" s="14" t="s">
        <v>100</v>
      </c>
      <c r="M23" s="14" t="s">
        <v>100</v>
      </c>
      <c r="N23" s="14" t="s">
        <v>196</v>
      </c>
      <c r="O23" s="14" t="s">
        <v>408</v>
      </c>
      <c r="P23" s="14" t="s">
        <v>17</v>
      </c>
      <c r="Q23" s="14" t="s">
        <v>232</v>
      </c>
      <c r="R23" s="14" t="s">
        <v>409</v>
      </c>
      <c r="S23" s="14" t="s">
        <v>410</v>
      </c>
      <c r="T23" s="14" t="s">
        <v>411</v>
      </c>
      <c r="U23" s="14" t="s">
        <v>412</v>
      </c>
      <c r="V23" s="14">
        <v>9</v>
      </c>
      <c r="W23" s="14" t="s">
        <v>413</v>
      </c>
      <c r="X23" s="14" t="s">
        <v>19</v>
      </c>
      <c r="Y23" s="14" t="s">
        <v>62</v>
      </c>
      <c r="Z23" s="14" t="s">
        <v>36</v>
      </c>
      <c r="AA23" s="14" t="s">
        <v>22</v>
      </c>
      <c r="AB23" s="14">
        <v>22</v>
      </c>
    </row>
    <row r="24" spans="1:28" x14ac:dyDescent="0.25">
      <c r="A24" s="15">
        <v>45833.480858564813</v>
      </c>
      <c r="B24" s="14" t="s">
        <v>193</v>
      </c>
      <c r="C24" s="14" t="s">
        <v>414</v>
      </c>
      <c r="D24" s="14" t="s">
        <v>415</v>
      </c>
      <c r="E24" s="14" t="s">
        <v>196</v>
      </c>
      <c r="F24" s="14" t="s">
        <v>368</v>
      </c>
      <c r="G24" s="14" t="s">
        <v>416</v>
      </c>
      <c r="H24" s="14" t="s">
        <v>417</v>
      </c>
      <c r="I24" s="14" t="s">
        <v>199</v>
      </c>
      <c r="K24" s="14" t="s">
        <v>15</v>
      </c>
      <c r="L24" s="14" t="s">
        <v>100</v>
      </c>
      <c r="M24" s="14" t="s">
        <v>15</v>
      </c>
      <c r="N24" s="14" t="s">
        <v>196</v>
      </c>
      <c r="O24" s="14" t="s">
        <v>418</v>
      </c>
      <c r="P24" s="14" t="s">
        <v>17</v>
      </c>
      <c r="Q24" s="14" t="s">
        <v>232</v>
      </c>
      <c r="R24" s="14" t="s">
        <v>419</v>
      </c>
      <c r="S24" s="14" t="s">
        <v>322</v>
      </c>
      <c r="T24" s="14" t="s">
        <v>420</v>
      </c>
      <c r="U24" s="14" t="s">
        <v>421</v>
      </c>
      <c r="V24" s="14">
        <v>8</v>
      </c>
      <c r="W24" s="14" t="s">
        <v>422</v>
      </c>
      <c r="X24" s="14" t="s">
        <v>19</v>
      </c>
      <c r="Y24" s="14" t="s">
        <v>423</v>
      </c>
      <c r="Z24" s="14" t="s">
        <v>36</v>
      </c>
      <c r="AA24" s="14" t="s">
        <v>31</v>
      </c>
      <c r="AB24" s="14">
        <v>21</v>
      </c>
    </row>
    <row r="25" spans="1:28" x14ac:dyDescent="0.25">
      <c r="A25" s="15">
        <v>45833.48103800926</v>
      </c>
      <c r="B25" s="14" t="s">
        <v>193</v>
      </c>
      <c r="C25" s="14" t="s">
        <v>424</v>
      </c>
      <c r="D25" s="14" t="s">
        <v>425</v>
      </c>
      <c r="E25" s="14" t="s">
        <v>196</v>
      </c>
      <c r="F25" s="14" t="s">
        <v>197</v>
      </c>
      <c r="G25" s="14" t="s">
        <v>426</v>
      </c>
      <c r="H25" s="14" t="s">
        <v>427</v>
      </c>
      <c r="I25" s="14" t="s">
        <v>196</v>
      </c>
      <c r="J25" s="14" t="s">
        <v>428</v>
      </c>
      <c r="K25" s="14" t="s">
        <v>100</v>
      </c>
      <c r="L25" s="14" t="s">
        <v>100</v>
      </c>
      <c r="M25" s="14" t="s">
        <v>100</v>
      </c>
      <c r="N25" s="14" t="s">
        <v>196</v>
      </c>
      <c r="O25" s="14" t="s">
        <v>429</v>
      </c>
      <c r="P25" s="14" t="s">
        <v>17</v>
      </c>
      <c r="Q25" s="14" t="s">
        <v>210</v>
      </c>
      <c r="R25" s="14" t="s">
        <v>430</v>
      </c>
      <c r="S25" s="14" t="s">
        <v>332</v>
      </c>
      <c r="T25" s="14" t="s">
        <v>431</v>
      </c>
      <c r="U25" s="14" t="s">
        <v>432</v>
      </c>
      <c r="V25" s="14">
        <v>10</v>
      </c>
      <c r="W25" s="14" t="s">
        <v>433</v>
      </c>
      <c r="X25" s="14" t="s">
        <v>19</v>
      </c>
      <c r="Y25" s="14" t="s">
        <v>434</v>
      </c>
      <c r="Z25" s="14" t="s">
        <v>21</v>
      </c>
      <c r="AA25" s="14" t="s">
        <v>22</v>
      </c>
      <c r="AB25" s="14">
        <v>24</v>
      </c>
    </row>
    <row r="26" spans="1:28" x14ac:dyDescent="0.25">
      <c r="A26" s="15">
        <v>45833.487953518517</v>
      </c>
      <c r="B26" s="14" t="s">
        <v>193</v>
      </c>
      <c r="C26" s="14" t="s">
        <v>435</v>
      </c>
      <c r="D26" s="14" t="s">
        <v>436</v>
      </c>
      <c r="E26" s="14" t="s">
        <v>196</v>
      </c>
      <c r="F26" s="14" t="s">
        <v>197</v>
      </c>
      <c r="G26" s="14" t="s">
        <v>437</v>
      </c>
      <c r="H26" s="14" t="s">
        <v>438</v>
      </c>
      <c r="I26" s="14" t="s">
        <v>196</v>
      </c>
      <c r="J26" s="14" t="s">
        <v>439</v>
      </c>
      <c r="K26" s="14" t="s">
        <v>100</v>
      </c>
      <c r="L26" s="14" t="s">
        <v>100</v>
      </c>
      <c r="M26" s="14" t="s">
        <v>15</v>
      </c>
      <c r="N26" s="14" t="s">
        <v>196</v>
      </c>
      <c r="O26" s="14" t="s">
        <v>440</v>
      </c>
      <c r="P26" s="14" t="s">
        <v>17</v>
      </c>
      <c r="Q26" s="14" t="s">
        <v>210</v>
      </c>
      <c r="R26" s="14" t="s">
        <v>441</v>
      </c>
      <c r="S26" s="14" t="s">
        <v>442</v>
      </c>
      <c r="T26" s="14" t="s">
        <v>443</v>
      </c>
      <c r="U26" s="14" t="s">
        <v>444</v>
      </c>
      <c r="V26" s="14">
        <v>10</v>
      </c>
      <c r="W26" s="14" t="s">
        <v>445</v>
      </c>
      <c r="X26" s="14" t="s">
        <v>19</v>
      </c>
      <c r="Y26" s="14" t="s">
        <v>446</v>
      </c>
      <c r="Z26" s="14" t="s">
        <v>21</v>
      </c>
      <c r="AA26" s="14" t="s">
        <v>22</v>
      </c>
      <c r="AB26" s="14">
        <v>25</v>
      </c>
    </row>
    <row r="27" spans="1:28" x14ac:dyDescent="0.25">
      <c r="A27" s="15">
        <v>45833.496280671301</v>
      </c>
      <c r="B27" s="14" t="s">
        <v>193</v>
      </c>
      <c r="C27" s="14" t="s">
        <v>447</v>
      </c>
      <c r="D27" s="14" t="s">
        <v>448</v>
      </c>
      <c r="E27" s="14" t="s">
        <v>196</v>
      </c>
      <c r="F27" s="14" t="s">
        <v>197</v>
      </c>
      <c r="G27" s="14" t="s">
        <v>449</v>
      </c>
      <c r="H27" s="14" t="s">
        <v>450</v>
      </c>
      <c r="I27" s="14" t="s">
        <v>199</v>
      </c>
      <c r="K27" s="14" t="s">
        <v>100</v>
      </c>
      <c r="L27" s="14" t="s">
        <v>100</v>
      </c>
      <c r="M27" s="14" t="s">
        <v>100</v>
      </c>
      <c r="N27" s="14" t="s">
        <v>196</v>
      </c>
      <c r="O27" s="14" t="s">
        <v>451</v>
      </c>
      <c r="P27" s="14" t="s">
        <v>17</v>
      </c>
      <c r="Q27" s="14" t="s">
        <v>200</v>
      </c>
      <c r="R27" s="14" t="s">
        <v>452</v>
      </c>
      <c r="S27" s="14" t="s">
        <v>453</v>
      </c>
      <c r="T27" s="14" t="s">
        <v>454</v>
      </c>
      <c r="U27" s="14" t="s">
        <v>455</v>
      </c>
      <c r="V27" s="14">
        <v>10</v>
      </c>
      <c r="W27" s="14" t="s">
        <v>456</v>
      </c>
      <c r="X27" s="14" t="s">
        <v>19</v>
      </c>
      <c r="Y27" s="14" t="s">
        <v>457</v>
      </c>
      <c r="Z27" s="14" t="s">
        <v>21</v>
      </c>
      <c r="AA27" s="14" t="s">
        <v>22</v>
      </c>
      <c r="AB27" s="14">
        <v>29</v>
      </c>
    </row>
    <row r="28" spans="1:28" x14ac:dyDescent="0.25">
      <c r="A28" s="15">
        <v>45833.511187777782</v>
      </c>
      <c r="B28" s="14" t="s">
        <v>193</v>
      </c>
      <c r="C28" s="14" t="s">
        <v>458</v>
      </c>
      <c r="D28" s="14" t="s">
        <v>459</v>
      </c>
      <c r="E28" s="14" t="s">
        <v>196</v>
      </c>
      <c r="F28" s="14" t="s">
        <v>197</v>
      </c>
      <c r="G28" s="14" t="s">
        <v>460</v>
      </c>
      <c r="H28" s="14" t="s">
        <v>459</v>
      </c>
      <c r="I28" s="14" t="s">
        <v>199</v>
      </c>
      <c r="K28" s="14" t="s">
        <v>15</v>
      </c>
      <c r="L28" s="14" t="s">
        <v>100</v>
      </c>
      <c r="M28" s="14" t="s">
        <v>100</v>
      </c>
      <c r="N28" s="14" t="s">
        <v>196</v>
      </c>
      <c r="O28" s="14" t="s">
        <v>461</v>
      </c>
      <c r="P28" s="14" t="s">
        <v>17</v>
      </c>
      <c r="Q28" s="14" t="s">
        <v>232</v>
      </c>
      <c r="R28" s="14" t="s">
        <v>462</v>
      </c>
      <c r="S28" s="14" t="s">
        <v>223</v>
      </c>
      <c r="T28" s="14" t="s">
        <v>463</v>
      </c>
      <c r="U28" s="14" t="s">
        <v>238</v>
      </c>
      <c r="V28" s="14">
        <v>10</v>
      </c>
      <c r="W28" s="14" t="s">
        <v>464</v>
      </c>
      <c r="X28" s="14" t="s">
        <v>19</v>
      </c>
      <c r="Y28" s="14" t="s">
        <v>465</v>
      </c>
      <c r="Z28" s="14" t="s">
        <v>21</v>
      </c>
      <c r="AA28" s="14" t="s">
        <v>22</v>
      </c>
      <c r="AB28" s="14">
        <v>25</v>
      </c>
    </row>
    <row r="29" spans="1:28" x14ac:dyDescent="0.25">
      <c r="A29" s="15">
        <v>45833.524663668984</v>
      </c>
      <c r="B29" s="14" t="s">
        <v>466</v>
      </c>
      <c r="C29" s="14" t="s">
        <v>467</v>
      </c>
      <c r="D29" s="14" t="s">
        <v>468</v>
      </c>
      <c r="E29" s="14" t="s">
        <v>196</v>
      </c>
      <c r="F29" s="14" t="s">
        <v>197</v>
      </c>
      <c r="G29" s="14" t="s">
        <v>469</v>
      </c>
      <c r="I29" s="14" t="s">
        <v>199</v>
      </c>
      <c r="K29" s="14" t="s">
        <v>100</v>
      </c>
      <c r="L29" s="14" t="s">
        <v>100</v>
      </c>
      <c r="M29" s="14" t="s">
        <v>100</v>
      </c>
      <c r="N29" s="14" t="s">
        <v>196</v>
      </c>
      <c r="O29" s="14" t="s">
        <v>470</v>
      </c>
      <c r="P29" s="14" t="s">
        <v>17</v>
      </c>
      <c r="Q29" s="14" t="s">
        <v>200</v>
      </c>
      <c r="R29" s="14" t="s">
        <v>471</v>
      </c>
      <c r="S29" s="14" t="s">
        <v>472</v>
      </c>
      <c r="T29" s="14" t="s">
        <v>473</v>
      </c>
      <c r="U29" s="14" t="s">
        <v>474</v>
      </c>
      <c r="V29" s="14">
        <v>10</v>
      </c>
      <c r="W29" s="14" t="s">
        <v>475</v>
      </c>
      <c r="X29" s="14" t="s">
        <v>19</v>
      </c>
      <c r="Y29" s="14" t="s">
        <v>476</v>
      </c>
      <c r="Z29" s="14" t="s">
        <v>36</v>
      </c>
      <c r="AA29" s="14" t="s">
        <v>22</v>
      </c>
      <c r="AB29" s="14">
        <v>23</v>
      </c>
    </row>
    <row r="30" spans="1:28" x14ac:dyDescent="0.25">
      <c r="A30" s="15">
        <v>45833.526245196757</v>
      </c>
      <c r="B30" s="14" t="s">
        <v>193</v>
      </c>
      <c r="C30" s="14" t="s">
        <v>477</v>
      </c>
      <c r="D30" s="14" t="s">
        <v>478</v>
      </c>
      <c r="E30" s="14" t="s">
        <v>196</v>
      </c>
      <c r="F30" s="14" t="s">
        <v>249</v>
      </c>
      <c r="G30" s="14" t="s">
        <v>479</v>
      </c>
      <c r="H30" s="14" t="s">
        <v>480</v>
      </c>
      <c r="I30" s="14" t="s">
        <v>199</v>
      </c>
      <c r="K30" s="14" t="s">
        <v>15</v>
      </c>
      <c r="L30" s="14" t="s">
        <v>15</v>
      </c>
      <c r="M30" s="14" t="s">
        <v>100</v>
      </c>
      <c r="N30" s="14" t="s">
        <v>196</v>
      </c>
      <c r="O30" s="14" t="s">
        <v>481</v>
      </c>
      <c r="P30" s="14" t="s">
        <v>17</v>
      </c>
      <c r="Q30" s="14" t="s">
        <v>232</v>
      </c>
      <c r="R30" s="14" t="s">
        <v>482</v>
      </c>
      <c r="S30" s="14" t="s">
        <v>363</v>
      </c>
      <c r="T30" s="14" t="s">
        <v>483</v>
      </c>
      <c r="U30" s="14" t="s">
        <v>484</v>
      </c>
      <c r="V30" s="14">
        <v>10</v>
      </c>
      <c r="W30" s="14" t="s">
        <v>485</v>
      </c>
      <c r="X30" s="14" t="s">
        <v>19</v>
      </c>
      <c r="Y30" s="14" t="s">
        <v>49</v>
      </c>
      <c r="Z30" s="14" t="s">
        <v>36</v>
      </c>
      <c r="AA30" s="14" t="s">
        <v>31</v>
      </c>
      <c r="AB30" s="14" t="s">
        <v>486</v>
      </c>
    </row>
    <row r="31" spans="1:28" x14ac:dyDescent="0.25">
      <c r="A31" s="15">
        <v>45833.534032673611</v>
      </c>
      <c r="B31" s="14" t="s">
        <v>193</v>
      </c>
      <c r="C31" s="14" t="s">
        <v>487</v>
      </c>
      <c r="D31" s="14" t="s">
        <v>488</v>
      </c>
      <c r="E31" s="14" t="s">
        <v>196</v>
      </c>
      <c r="F31" s="14" t="s">
        <v>197</v>
      </c>
      <c r="G31" s="14" t="s">
        <v>489</v>
      </c>
      <c r="H31" s="14" t="s">
        <v>490</v>
      </c>
      <c r="I31" s="14" t="s">
        <v>199</v>
      </c>
      <c r="K31" s="14" t="s">
        <v>100</v>
      </c>
      <c r="L31" s="14" t="s">
        <v>100</v>
      </c>
      <c r="M31" s="14" t="s">
        <v>100</v>
      </c>
      <c r="N31" s="14" t="s">
        <v>199</v>
      </c>
      <c r="P31" s="14" t="s">
        <v>17</v>
      </c>
      <c r="Q31" s="14" t="s">
        <v>210</v>
      </c>
      <c r="R31" s="14" t="s">
        <v>491</v>
      </c>
      <c r="S31" s="14" t="s">
        <v>332</v>
      </c>
      <c r="T31" s="14" t="s">
        <v>492</v>
      </c>
      <c r="U31" s="14" t="s">
        <v>493</v>
      </c>
      <c r="V31" s="14">
        <v>10</v>
      </c>
      <c r="W31" s="14" t="s">
        <v>494</v>
      </c>
      <c r="X31" s="14" t="s">
        <v>19</v>
      </c>
      <c r="Y31" s="14" t="s">
        <v>45</v>
      </c>
      <c r="Z31" s="14" t="s">
        <v>36</v>
      </c>
      <c r="AA31" s="14" t="s">
        <v>31</v>
      </c>
      <c r="AB31" s="14">
        <v>22</v>
      </c>
    </row>
    <row r="32" spans="1:28" x14ac:dyDescent="0.25">
      <c r="A32" s="15">
        <v>45833.536556817126</v>
      </c>
      <c r="B32" s="14" t="s">
        <v>193</v>
      </c>
      <c r="C32" s="14" t="s">
        <v>495</v>
      </c>
      <c r="D32" s="14" t="s">
        <v>496</v>
      </c>
      <c r="E32" s="14" t="s">
        <v>196</v>
      </c>
      <c r="F32" s="14" t="s">
        <v>249</v>
      </c>
      <c r="G32" s="14" t="s">
        <v>497</v>
      </c>
      <c r="H32" s="14" t="s">
        <v>498</v>
      </c>
      <c r="I32" s="14" t="s">
        <v>199</v>
      </c>
      <c r="K32" s="14" t="s">
        <v>100</v>
      </c>
      <c r="L32" s="14" t="s">
        <v>100</v>
      </c>
      <c r="M32" s="14" t="s">
        <v>100</v>
      </c>
      <c r="N32" s="14" t="s">
        <v>196</v>
      </c>
      <c r="P32" s="14" t="s">
        <v>17</v>
      </c>
      <c r="Q32" s="14" t="s">
        <v>232</v>
      </c>
      <c r="R32" s="14" t="s">
        <v>499</v>
      </c>
      <c r="S32" s="14" t="s">
        <v>234</v>
      </c>
      <c r="T32" s="14" t="s">
        <v>492</v>
      </c>
      <c r="U32" s="14" t="s">
        <v>500</v>
      </c>
      <c r="V32" s="14">
        <v>10</v>
      </c>
      <c r="W32" s="14" t="s">
        <v>501</v>
      </c>
      <c r="X32" s="14" t="s">
        <v>19</v>
      </c>
      <c r="Y32" s="14" t="s">
        <v>502</v>
      </c>
      <c r="Z32" s="14" t="s">
        <v>36</v>
      </c>
      <c r="AA32" s="14" t="s">
        <v>22</v>
      </c>
      <c r="AB32" s="14">
        <v>23</v>
      </c>
    </row>
    <row r="33" spans="1:28" x14ac:dyDescent="0.25">
      <c r="A33" s="15">
        <v>45833.538039016203</v>
      </c>
      <c r="B33" s="14" t="s">
        <v>193</v>
      </c>
      <c r="C33" s="14" t="s">
        <v>503</v>
      </c>
      <c r="D33" s="14" t="s">
        <v>504</v>
      </c>
      <c r="E33" s="14" t="s">
        <v>196</v>
      </c>
      <c r="F33" s="14" t="s">
        <v>197</v>
      </c>
      <c r="G33" s="14" t="s">
        <v>505</v>
      </c>
      <c r="H33" s="14" t="s">
        <v>506</v>
      </c>
      <c r="I33" s="14" t="s">
        <v>199</v>
      </c>
      <c r="K33" s="14" t="s">
        <v>100</v>
      </c>
      <c r="L33" s="14" t="s">
        <v>100</v>
      </c>
      <c r="M33" s="14" t="s">
        <v>100</v>
      </c>
      <c r="N33" s="14" t="s">
        <v>196</v>
      </c>
      <c r="O33" s="14" t="s">
        <v>507</v>
      </c>
      <c r="P33" s="14" t="s">
        <v>17</v>
      </c>
      <c r="Q33" s="14" t="s">
        <v>232</v>
      </c>
      <c r="R33" s="14" t="s">
        <v>508</v>
      </c>
      <c r="S33" s="14" t="s">
        <v>453</v>
      </c>
      <c r="T33" s="14" t="s">
        <v>509</v>
      </c>
      <c r="U33" s="14" t="s">
        <v>510</v>
      </c>
      <c r="V33" s="14">
        <v>10</v>
      </c>
      <c r="W33" s="14" t="s">
        <v>511</v>
      </c>
      <c r="X33" s="14" t="s">
        <v>19</v>
      </c>
      <c r="Y33" s="14" t="s">
        <v>512</v>
      </c>
      <c r="Z33" s="14" t="s">
        <v>36</v>
      </c>
      <c r="AA33" s="14" t="s">
        <v>31</v>
      </c>
      <c r="AB33" s="14">
        <v>21</v>
      </c>
    </row>
    <row r="34" spans="1:28" x14ac:dyDescent="0.25">
      <c r="A34" s="15">
        <v>45833.546178564815</v>
      </c>
      <c r="B34" s="14" t="s">
        <v>193</v>
      </c>
      <c r="C34" s="14" t="s">
        <v>513</v>
      </c>
      <c r="D34" s="14" t="s">
        <v>514</v>
      </c>
      <c r="E34" s="14" t="s">
        <v>196</v>
      </c>
      <c r="F34" s="14" t="s">
        <v>197</v>
      </c>
      <c r="G34" s="14" t="s">
        <v>515</v>
      </c>
      <c r="H34" s="14" t="s">
        <v>516</v>
      </c>
      <c r="I34" s="14" t="s">
        <v>199</v>
      </c>
      <c r="K34" s="14" t="s">
        <v>100</v>
      </c>
      <c r="L34" s="14" t="s">
        <v>100</v>
      </c>
      <c r="M34" s="14" t="s">
        <v>15</v>
      </c>
      <c r="N34" s="14" t="s">
        <v>196</v>
      </c>
      <c r="O34" s="14" t="s">
        <v>517</v>
      </c>
      <c r="P34" s="14" t="s">
        <v>79</v>
      </c>
      <c r="Q34" s="14" t="s">
        <v>232</v>
      </c>
      <c r="R34" s="14" t="s">
        <v>518</v>
      </c>
      <c r="S34" s="14" t="s">
        <v>519</v>
      </c>
      <c r="T34" s="14" t="s">
        <v>520</v>
      </c>
      <c r="U34" s="14" t="s">
        <v>521</v>
      </c>
      <c r="V34" s="14">
        <v>9</v>
      </c>
      <c r="W34" s="14" t="s">
        <v>522</v>
      </c>
      <c r="X34" s="14" t="s">
        <v>19</v>
      </c>
      <c r="Y34" s="14" t="s">
        <v>523</v>
      </c>
      <c r="Z34" s="14" t="s">
        <v>36</v>
      </c>
      <c r="AA34" s="14" t="s">
        <v>31</v>
      </c>
      <c r="AB34" s="14">
        <v>22</v>
      </c>
    </row>
    <row r="35" spans="1:28" x14ac:dyDescent="0.25">
      <c r="A35" s="15">
        <v>45833.551846770832</v>
      </c>
      <c r="B35" s="14" t="s">
        <v>193</v>
      </c>
      <c r="C35" s="14" t="s">
        <v>524</v>
      </c>
      <c r="D35" s="14" t="s">
        <v>525</v>
      </c>
      <c r="E35" s="14" t="s">
        <v>196</v>
      </c>
      <c r="F35" s="14" t="s">
        <v>197</v>
      </c>
      <c r="G35" s="14" t="s">
        <v>526</v>
      </c>
      <c r="H35" s="14" t="s">
        <v>527</v>
      </c>
      <c r="I35" s="14" t="s">
        <v>199</v>
      </c>
      <c r="K35" s="14" t="s">
        <v>100</v>
      </c>
      <c r="L35" s="14" t="s">
        <v>100</v>
      </c>
      <c r="M35" s="14" t="s">
        <v>100</v>
      </c>
      <c r="N35" s="14" t="s">
        <v>196</v>
      </c>
      <c r="O35" s="14" t="s">
        <v>528</v>
      </c>
      <c r="P35" s="14" t="s">
        <v>17</v>
      </c>
      <c r="Q35" s="14" t="s">
        <v>232</v>
      </c>
      <c r="R35" s="14" t="s">
        <v>529</v>
      </c>
      <c r="S35" s="14" t="s">
        <v>363</v>
      </c>
      <c r="T35" s="14" t="s">
        <v>530</v>
      </c>
      <c r="U35" s="14" t="s">
        <v>531</v>
      </c>
      <c r="V35" s="14">
        <v>10</v>
      </c>
      <c r="W35" s="14" t="s">
        <v>532</v>
      </c>
      <c r="X35" s="14" t="s">
        <v>19</v>
      </c>
      <c r="Y35" s="14" t="s">
        <v>533</v>
      </c>
      <c r="Z35" s="14" t="s">
        <v>21</v>
      </c>
      <c r="AA35" s="14" t="s">
        <v>22</v>
      </c>
      <c r="AB35" s="14">
        <v>22</v>
      </c>
    </row>
    <row r="36" spans="1:28" x14ac:dyDescent="0.25">
      <c r="A36" s="15">
        <v>45833.552132152778</v>
      </c>
      <c r="B36" s="14" t="s">
        <v>193</v>
      </c>
      <c r="C36" s="14" t="s">
        <v>534</v>
      </c>
      <c r="D36" s="14" t="s">
        <v>238</v>
      </c>
      <c r="E36" s="14" t="s">
        <v>196</v>
      </c>
      <c r="F36" s="14" t="s">
        <v>368</v>
      </c>
      <c r="G36" s="14" t="s">
        <v>535</v>
      </c>
      <c r="H36" s="14" t="s">
        <v>536</v>
      </c>
      <c r="I36" s="14" t="s">
        <v>199</v>
      </c>
      <c r="K36" s="14" t="s">
        <v>100</v>
      </c>
      <c r="L36" s="14" t="s">
        <v>100</v>
      </c>
      <c r="M36" s="14" t="s">
        <v>100</v>
      </c>
      <c r="N36" s="14" t="s">
        <v>196</v>
      </c>
      <c r="O36" s="14" t="s">
        <v>537</v>
      </c>
      <c r="P36" s="14" t="s">
        <v>17</v>
      </c>
      <c r="Q36" s="14" t="s">
        <v>200</v>
      </c>
      <c r="R36" s="14" t="s">
        <v>538</v>
      </c>
      <c r="S36" s="14" t="s">
        <v>332</v>
      </c>
      <c r="T36" s="14" t="s">
        <v>539</v>
      </c>
      <c r="U36" s="14" t="s">
        <v>540</v>
      </c>
      <c r="V36" s="14">
        <v>8</v>
      </c>
      <c r="W36" s="14" t="s">
        <v>541</v>
      </c>
      <c r="X36" s="14" t="s">
        <v>19</v>
      </c>
      <c r="Y36" s="14" t="s">
        <v>542</v>
      </c>
      <c r="Z36" s="14" t="s">
        <v>21</v>
      </c>
      <c r="AA36" s="14" t="s">
        <v>22</v>
      </c>
      <c r="AB36" s="14">
        <v>22</v>
      </c>
    </row>
    <row r="37" spans="1:28" x14ac:dyDescent="0.25">
      <c r="A37" s="15">
        <v>45833.572077604171</v>
      </c>
      <c r="B37" s="14" t="s">
        <v>193</v>
      </c>
      <c r="C37" s="14" t="s">
        <v>543</v>
      </c>
      <c r="D37" s="14" t="s">
        <v>544</v>
      </c>
      <c r="E37" s="14" t="s">
        <v>196</v>
      </c>
      <c r="F37" s="14" t="s">
        <v>197</v>
      </c>
      <c r="G37" s="14" t="s">
        <v>545</v>
      </c>
      <c r="H37" s="14" t="s">
        <v>546</v>
      </c>
      <c r="I37" s="14" t="s">
        <v>199</v>
      </c>
      <c r="K37" s="14" t="s">
        <v>100</v>
      </c>
      <c r="L37" s="14" t="s">
        <v>100</v>
      </c>
      <c r="M37" s="14" t="s">
        <v>100</v>
      </c>
      <c r="N37" s="14" t="s">
        <v>196</v>
      </c>
      <c r="O37" s="14" t="s">
        <v>547</v>
      </c>
      <c r="P37" s="14" t="s">
        <v>17</v>
      </c>
      <c r="Q37" s="14" t="s">
        <v>232</v>
      </c>
      <c r="R37" s="14" t="s">
        <v>548</v>
      </c>
      <c r="S37" s="14" t="s">
        <v>549</v>
      </c>
      <c r="T37" s="14" t="s">
        <v>550</v>
      </c>
      <c r="U37" s="14" t="s">
        <v>551</v>
      </c>
      <c r="V37" s="14">
        <v>10</v>
      </c>
      <c r="W37" s="14" t="s">
        <v>552</v>
      </c>
      <c r="X37" s="14" t="s">
        <v>19</v>
      </c>
      <c r="Y37" s="14" t="s">
        <v>84</v>
      </c>
      <c r="Z37" s="14" t="s">
        <v>21</v>
      </c>
      <c r="AA37" s="14" t="s">
        <v>22</v>
      </c>
      <c r="AB37" s="14">
        <v>24</v>
      </c>
    </row>
    <row r="38" spans="1:28" x14ac:dyDescent="0.25">
      <c r="A38" s="15">
        <v>45833.579388275466</v>
      </c>
      <c r="B38" s="14" t="s">
        <v>193</v>
      </c>
      <c r="C38" s="14" t="s">
        <v>553</v>
      </c>
      <c r="D38" s="14" t="s">
        <v>554</v>
      </c>
      <c r="E38" s="14" t="s">
        <v>196</v>
      </c>
      <c r="F38" s="14" t="s">
        <v>197</v>
      </c>
      <c r="G38" s="14" t="s">
        <v>555</v>
      </c>
      <c r="H38" s="14" t="s">
        <v>556</v>
      </c>
      <c r="I38" s="14" t="s">
        <v>199</v>
      </c>
      <c r="K38" s="14" t="s">
        <v>15</v>
      </c>
      <c r="L38" s="14" t="s">
        <v>100</v>
      </c>
      <c r="M38" s="14" t="s">
        <v>100</v>
      </c>
      <c r="N38" s="14" t="s">
        <v>196</v>
      </c>
      <c r="O38" s="14" t="s">
        <v>557</v>
      </c>
      <c r="P38" s="14" t="s">
        <v>17</v>
      </c>
      <c r="Q38" s="14" t="s">
        <v>210</v>
      </c>
      <c r="R38" s="14" t="s">
        <v>558</v>
      </c>
      <c r="S38" s="14" t="s">
        <v>559</v>
      </c>
      <c r="T38" s="14" t="s">
        <v>560</v>
      </c>
      <c r="U38" s="14" t="s">
        <v>561</v>
      </c>
      <c r="V38" s="14">
        <v>10</v>
      </c>
      <c r="W38" s="14" t="s">
        <v>562</v>
      </c>
      <c r="X38" s="14" t="s">
        <v>19</v>
      </c>
      <c r="Y38" s="14" t="s">
        <v>563</v>
      </c>
      <c r="Z38" s="14" t="s">
        <v>21</v>
      </c>
      <c r="AA38" s="14" t="s">
        <v>31</v>
      </c>
      <c r="AB38" s="14">
        <v>25</v>
      </c>
    </row>
    <row r="39" spans="1:28" x14ac:dyDescent="0.25">
      <c r="A39" s="15">
        <v>45833.607366215278</v>
      </c>
      <c r="B39" s="14" t="s">
        <v>193</v>
      </c>
      <c r="C39" s="14" t="s">
        <v>564</v>
      </c>
      <c r="D39" s="14" t="s">
        <v>565</v>
      </c>
      <c r="E39" s="14" t="s">
        <v>196</v>
      </c>
      <c r="F39" s="14" t="s">
        <v>197</v>
      </c>
      <c r="G39" s="14" t="s">
        <v>566</v>
      </c>
      <c r="H39" s="14" t="s">
        <v>238</v>
      </c>
      <c r="I39" s="14" t="s">
        <v>199</v>
      </c>
      <c r="K39" s="14" t="s">
        <v>100</v>
      </c>
      <c r="L39" s="14" t="s">
        <v>15</v>
      </c>
      <c r="M39" s="14" t="s">
        <v>100</v>
      </c>
      <c r="N39" s="14" t="s">
        <v>196</v>
      </c>
      <c r="P39" s="14" t="s">
        <v>17</v>
      </c>
      <c r="Q39" s="14" t="s">
        <v>210</v>
      </c>
      <c r="R39" s="14" t="s">
        <v>567</v>
      </c>
      <c r="S39" s="14" t="s">
        <v>363</v>
      </c>
      <c r="T39" s="14" t="s">
        <v>568</v>
      </c>
      <c r="U39" s="14" t="s">
        <v>569</v>
      </c>
      <c r="V39" s="14">
        <v>10</v>
      </c>
      <c r="W39" s="14" t="s">
        <v>570</v>
      </c>
      <c r="X39" s="14" t="s">
        <v>19</v>
      </c>
      <c r="Y39" s="14" t="s">
        <v>45</v>
      </c>
      <c r="Z39" s="14" t="s">
        <v>36</v>
      </c>
      <c r="AA39" s="14" t="s">
        <v>31</v>
      </c>
      <c r="AB39" s="14" t="s">
        <v>571</v>
      </c>
    </row>
    <row r="40" spans="1:28" x14ac:dyDescent="0.25">
      <c r="A40" s="15">
        <v>45833.618196076393</v>
      </c>
      <c r="B40" s="14" t="s">
        <v>572</v>
      </c>
      <c r="C40" s="14" t="s">
        <v>573</v>
      </c>
      <c r="D40" s="14" t="s">
        <v>574</v>
      </c>
      <c r="E40" s="14" t="s">
        <v>196</v>
      </c>
      <c r="F40" s="14" t="s">
        <v>197</v>
      </c>
      <c r="G40" s="14" t="s">
        <v>575</v>
      </c>
      <c r="H40" s="14" t="s">
        <v>576</v>
      </c>
      <c r="I40" s="14" t="s">
        <v>199</v>
      </c>
      <c r="K40" s="14" t="s">
        <v>100</v>
      </c>
      <c r="L40" s="14" t="s">
        <v>100</v>
      </c>
      <c r="M40" s="14" t="s">
        <v>100</v>
      </c>
      <c r="N40" s="14" t="s">
        <v>196</v>
      </c>
      <c r="O40" s="14" t="s">
        <v>577</v>
      </c>
      <c r="P40" s="14" t="s">
        <v>17</v>
      </c>
      <c r="Q40" s="14" t="s">
        <v>210</v>
      </c>
      <c r="R40" s="14" t="s">
        <v>578</v>
      </c>
      <c r="S40" s="14" t="s">
        <v>332</v>
      </c>
      <c r="T40" s="14" t="s">
        <v>573</v>
      </c>
      <c r="U40" s="14" t="s">
        <v>539</v>
      </c>
      <c r="V40" s="14">
        <v>10</v>
      </c>
      <c r="W40" s="14" t="s">
        <v>579</v>
      </c>
      <c r="X40" s="14" t="s">
        <v>19</v>
      </c>
      <c r="Y40" s="14" t="s">
        <v>457</v>
      </c>
      <c r="Z40" s="14" t="s">
        <v>36</v>
      </c>
      <c r="AA40" s="14" t="s">
        <v>22</v>
      </c>
      <c r="AB40" s="14">
        <v>25</v>
      </c>
    </row>
    <row r="41" spans="1:28" x14ac:dyDescent="0.25">
      <c r="A41" s="15">
        <v>45833.627485092591</v>
      </c>
      <c r="B41" s="14" t="s">
        <v>193</v>
      </c>
      <c r="C41" s="14" t="s">
        <v>580</v>
      </c>
      <c r="D41" s="14" t="s">
        <v>581</v>
      </c>
      <c r="E41" s="14" t="s">
        <v>196</v>
      </c>
      <c r="F41" s="14" t="s">
        <v>249</v>
      </c>
      <c r="G41" s="14" t="s">
        <v>582</v>
      </c>
      <c r="H41" s="14" t="s">
        <v>583</v>
      </c>
      <c r="I41" s="14" t="s">
        <v>199</v>
      </c>
      <c r="K41" s="14" t="s">
        <v>100</v>
      </c>
      <c r="L41" s="14" t="s">
        <v>100</v>
      </c>
      <c r="M41" s="14" t="s">
        <v>100</v>
      </c>
      <c r="N41" s="14" t="s">
        <v>196</v>
      </c>
      <c r="O41" s="14" t="s">
        <v>584</v>
      </c>
      <c r="P41" s="14" t="s">
        <v>17</v>
      </c>
      <c r="Q41" s="14" t="s">
        <v>210</v>
      </c>
      <c r="R41" s="14" t="s">
        <v>585</v>
      </c>
      <c r="S41" s="14" t="s">
        <v>586</v>
      </c>
      <c r="T41" s="14" t="s">
        <v>587</v>
      </c>
      <c r="U41" s="14" t="s">
        <v>588</v>
      </c>
      <c r="V41" s="14">
        <v>10</v>
      </c>
      <c r="W41" s="14" t="s">
        <v>589</v>
      </c>
      <c r="X41" s="14" t="s">
        <v>19</v>
      </c>
      <c r="Y41" s="14" t="s">
        <v>533</v>
      </c>
      <c r="Z41" s="14" t="s">
        <v>36</v>
      </c>
      <c r="AA41" s="14" t="s">
        <v>31</v>
      </c>
      <c r="AB41" s="14">
        <v>22</v>
      </c>
    </row>
    <row r="42" spans="1:28" x14ac:dyDescent="0.25">
      <c r="A42" s="15">
        <v>45833.653365162041</v>
      </c>
      <c r="B42" s="14" t="s">
        <v>193</v>
      </c>
      <c r="C42" s="14" t="s">
        <v>590</v>
      </c>
      <c r="D42" s="14" t="s">
        <v>591</v>
      </c>
      <c r="E42" s="14" t="s">
        <v>196</v>
      </c>
      <c r="F42" s="14" t="s">
        <v>197</v>
      </c>
      <c r="G42" s="14" t="s">
        <v>592</v>
      </c>
      <c r="H42" s="14" t="s">
        <v>593</v>
      </c>
      <c r="I42" s="14" t="s">
        <v>199</v>
      </c>
      <c r="K42" s="14" t="s">
        <v>15</v>
      </c>
      <c r="L42" s="14" t="s">
        <v>15</v>
      </c>
      <c r="M42" s="14" t="s">
        <v>15</v>
      </c>
      <c r="N42" s="14" t="s">
        <v>196</v>
      </c>
      <c r="O42" s="14" t="s">
        <v>594</v>
      </c>
      <c r="P42" s="14" t="s">
        <v>17</v>
      </c>
      <c r="Q42" s="14" t="s">
        <v>200</v>
      </c>
      <c r="R42" s="14" t="s">
        <v>595</v>
      </c>
      <c r="S42" s="14" t="s">
        <v>332</v>
      </c>
      <c r="T42" s="14" t="s">
        <v>596</v>
      </c>
      <c r="U42" s="14" t="s">
        <v>597</v>
      </c>
      <c r="V42" s="14">
        <v>10</v>
      </c>
      <c r="W42" s="14" t="s">
        <v>598</v>
      </c>
      <c r="X42" s="14" t="s">
        <v>19</v>
      </c>
      <c r="Y42" s="14" t="s">
        <v>599</v>
      </c>
      <c r="Z42" s="14" t="s">
        <v>21</v>
      </c>
      <c r="AA42" s="14" t="s">
        <v>22</v>
      </c>
      <c r="AB42" s="14">
        <v>23</v>
      </c>
    </row>
    <row r="43" spans="1:28" x14ac:dyDescent="0.25">
      <c r="A43" s="15">
        <v>45833.659907604168</v>
      </c>
      <c r="B43" s="14" t="s">
        <v>193</v>
      </c>
      <c r="C43" s="14" t="s">
        <v>600</v>
      </c>
      <c r="D43" s="14" t="s">
        <v>601</v>
      </c>
      <c r="E43" s="14" t="s">
        <v>196</v>
      </c>
      <c r="F43" s="14" t="s">
        <v>249</v>
      </c>
      <c r="G43" s="14" t="s">
        <v>602</v>
      </c>
      <c r="H43" s="14" t="s">
        <v>603</v>
      </c>
      <c r="I43" s="14" t="s">
        <v>199</v>
      </c>
      <c r="K43" s="14" t="s">
        <v>100</v>
      </c>
      <c r="L43" s="14" t="s">
        <v>100</v>
      </c>
      <c r="M43" s="14" t="s">
        <v>100</v>
      </c>
      <c r="N43" s="14" t="s">
        <v>196</v>
      </c>
      <c r="O43" s="14" t="s">
        <v>604</v>
      </c>
      <c r="P43" s="14" t="s">
        <v>17</v>
      </c>
      <c r="Q43" s="14" t="s">
        <v>232</v>
      </c>
      <c r="R43" s="14" t="s">
        <v>605</v>
      </c>
      <c r="S43" s="14" t="s">
        <v>332</v>
      </c>
      <c r="T43" s="14" t="s">
        <v>606</v>
      </c>
      <c r="U43" s="14" t="s">
        <v>607</v>
      </c>
      <c r="V43" s="14">
        <v>10</v>
      </c>
      <c r="W43" s="14" t="s">
        <v>608</v>
      </c>
      <c r="X43" s="14" t="s">
        <v>19</v>
      </c>
      <c r="Y43" s="14" t="s">
        <v>609</v>
      </c>
      <c r="Z43" s="14" t="s">
        <v>36</v>
      </c>
      <c r="AA43" s="14" t="s">
        <v>31</v>
      </c>
      <c r="AB43" s="14">
        <v>21</v>
      </c>
    </row>
    <row r="44" spans="1:28" x14ac:dyDescent="0.25">
      <c r="A44" s="15">
        <v>45833.679748229166</v>
      </c>
      <c r="B44" s="14" t="s">
        <v>193</v>
      </c>
      <c r="C44" s="14" t="s">
        <v>610</v>
      </c>
      <c r="D44" s="14" t="s">
        <v>611</v>
      </c>
      <c r="E44" s="14" t="s">
        <v>196</v>
      </c>
      <c r="F44" s="14" t="s">
        <v>197</v>
      </c>
      <c r="G44" s="14" t="s">
        <v>612</v>
      </c>
      <c r="H44" s="14" t="s">
        <v>613</v>
      </c>
      <c r="I44" s="14" t="s">
        <v>196</v>
      </c>
      <c r="J44" s="14" t="s">
        <v>614</v>
      </c>
      <c r="K44" s="14" t="s">
        <v>100</v>
      </c>
      <c r="L44" s="14" t="s">
        <v>100</v>
      </c>
      <c r="M44" s="14" t="s">
        <v>100</v>
      </c>
      <c r="N44" s="14" t="s">
        <v>196</v>
      </c>
      <c r="P44" s="14" t="s">
        <v>17</v>
      </c>
      <c r="Q44" s="14" t="s">
        <v>232</v>
      </c>
      <c r="R44" s="14" t="s">
        <v>615</v>
      </c>
      <c r="S44" s="14" t="s">
        <v>332</v>
      </c>
      <c r="T44" s="14" t="s">
        <v>616</v>
      </c>
      <c r="U44" s="14" t="s">
        <v>617</v>
      </c>
      <c r="V44" s="14">
        <v>10</v>
      </c>
      <c r="W44" s="14" t="s">
        <v>618</v>
      </c>
      <c r="X44" s="14" t="s">
        <v>19</v>
      </c>
      <c r="Y44" s="14" t="s">
        <v>619</v>
      </c>
      <c r="Z44" s="14" t="s">
        <v>21</v>
      </c>
      <c r="AA44" s="14" t="s">
        <v>22</v>
      </c>
      <c r="AB44" s="14">
        <v>24</v>
      </c>
    </row>
    <row r="45" spans="1:28" x14ac:dyDescent="0.25">
      <c r="A45" s="15">
        <v>45833.680383182873</v>
      </c>
      <c r="B45" s="14" t="s">
        <v>193</v>
      </c>
      <c r="C45" s="14" t="s">
        <v>620</v>
      </c>
      <c r="D45" s="14" t="s">
        <v>621</v>
      </c>
      <c r="E45" s="14" t="s">
        <v>196</v>
      </c>
      <c r="F45" s="14" t="s">
        <v>197</v>
      </c>
      <c r="G45" s="14" t="s">
        <v>622</v>
      </c>
      <c r="I45" s="14" t="s">
        <v>199</v>
      </c>
      <c r="K45" s="14" t="s">
        <v>15</v>
      </c>
      <c r="L45" s="14" t="s">
        <v>15</v>
      </c>
      <c r="M45" s="14" t="s">
        <v>15</v>
      </c>
      <c r="N45" s="14" t="s">
        <v>196</v>
      </c>
      <c r="O45" s="14" t="s">
        <v>623</v>
      </c>
      <c r="P45" s="14" t="s">
        <v>17</v>
      </c>
      <c r="Q45" s="14" t="s">
        <v>200</v>
      </c>
      <c r="R45" s="14" t="s">
        <v>624</v>
      </c>
      <c r="S45" s="14" t="s">
        <v>410</v>
      </c>
      <c r="T45" s="14" t="s">
        <v>625</v>
      </c>
      <c r="U45" s="14" t="s">
        <v>626</v>
      </c>
      <c r="V45" s="14">
        <v>7</v>
      </c>
      <c r="W45" s="14" t="s">
        <v>627</v>
      </c>
      <c r="X45" s="14" t="s">
        <v>19</v>
      </c>
      <c r="Y45" s="14" t="s">
        <v>93</v>
      </c>
      <c r="Z45" s="14" t="s">
        <v>36</v>
      </c>
      <c r="AA45" s="14" t="s">
        <v>31</v>
      </c>
      <c r="AB45" s="14">
        <v>22</v>
      </c>
    </row>
    <row r="46" spans="1:28" x14ac:dyDescent="0.25">
      <c r="A46" s="15">
        <v>45834.106200358801</v>
      </c>
      <c r="B46" s="14" t="s">
        <v>193</v>
      </c>
      <c r="C46" s="14" t="s">
        <v>628</v>
      </c>
      <c r="D46" s="14" t="s">
        <v>629</v>
      </c>
      <c r="E46" s="14" t="s">
        <v>196</v>
      </c>
      <c r="F46" s="14" t="s">
        <v>249</v>
      </c>
      <c r="G46" s="14" t="s">
        <v>630</v>
      </c>
      <c r="H46" s="14" t="s">
        <v>631</v>
      </c>
      <c r="I46" s="14" t="s">
        <v>199</v>
      </c>
      <c r="K46" s="14" t="s">
        <v>100</v>
      </c>
      <c r="L46" s="14" t="s">
        <v>100</v>
      </c>
      <c r="M46" s="14" t="s">
        <v>100</v>
      </c>
      <c r="N46" s="14" t="s">
        <v>196</v>
      </c>
      <c r="P46" s="14" t="s">
        <v>17</v>
      </c>
      <c r="Q46" s="14" t="s">
        <v>210</v>
      </c>
      <c r="R46" s="14" t="s">
        <v>632</v>
      </c>
      <c r="S46" s="14" t="s">
        <v>311</v>
      </c>
      <c r="T46" s="14" t="s">
        <v>633</v>
      </c>
      <c r="U46" s="14" t="s">
        <v>634</v>
      </c>
      <c r="V46" s="14">
        <v>10</v>
      </c>
      <c r="W46" s="14" t="s">
        <v>635</v>
      </c>
      <c r="X46" s="14" t="s">
        <v>19</v>
      </c>
      <c r="Y46" s="14" t="s">
        <v>636</v>
      </c>
      <c r="Z46" s="14" t="s">
        <v>36</v>
      </c>
      <c r="AA46" s="14" t="s">
        <v>31</v>
      </c>
      <c r="AB46" s="14">
        <v>22</v>
      </c>
    </row>
    <row r="47" spans="1:28" x14ac:dyDescent="0.25">
      <c r="A47" s="15">
        <v>45834.115610370369</v>
      </c>
      <c r="B47" s="14" t="s">
        <v>193</v>
      </c>
      <c r="C47" s="14" t="s">
        <v>637</v>
      </c>
      <c r="D47" s="14" t="s">
        <v>268</v>
      </c>
      <c r="E47" s="14" t="s">
        <v>196</v>
      </c>
      <c r="F47" s="14" t="s">
        <v>197</v>
      </c>
      <c r="G47" s="14" t="s">
        <v>638</v>
      </c>
      <c r="H47" s="14" t="s">
        <v>268</v>
      </c>
      <c r="I47" s="14" t="s">
        <v>199</v>
      </c>
      <c r="K47" s="14" t="s">
        <v>100</v>
      </c>
      <c r="L47" s="14" t="s">
        <v>100</v>
      </c>
      <c r="M47" s="14" t="s">
        <v>100</v>
      </c>
      <c r="N47" s="14" t="s">
        <v>199</v>
      </c>
      <c r="P47" s="14" t="s">
        <v>17</v>
      </c>
      <c r="Q47" s="14" t="s">
        <v>210</v>
      </c>
      <c r="R47" s="14" t="s">
        <v>639</v>
      </c>
      <c r="S47" s="14" t="s">
        <v>332</v>
      </c>
      <c r="T47" s="14" t="s">
        <v>640</v>
      </c>
      <c r="U47" s="14" t="s">
        <v>268</v>
      </c>
      <c r="V47" s="14">
        <v>10</v>
      </c>
      <c r="W47" s="14" t="s">
        <v>641</v>
      </c>
      <c r="X47" s="14" t="s">
        <v>19</v>
      </c>
      <c r="Y47" s="14" t="s">
        <v>642</v>
      </c>
      <c r="Z47" s="14" t="s">
        <v>36</v>
      </c>
      <c r="AA47" s="14" t="s">
        <v>22</v>
      </c>
      <c r="AB47" s="14">
        <v>24</v>
      </c>
    </row>
    <row r="48" spans="1:28" x14ac:dyDescent="0.25">
      <c r="A48" s="15">
        <v>45834.121700335643</v>
      </c>
      <c r="B48" s="14" t="s">
        <v>193</v>
      </c>
      <c r="C48" s="14" t="s">
        <v>643</v>
      </c>
      <c r="D48" s="14" t="s">
        <v>644</v>
      </c>
      <c r="E48" s="14" t="s">
        <v>196</v>
      </c>
      <c r="F48" s="14" t="s">
        <v>197</v>
      </c>
      <c r="G48" s="14" t="s">
        <v>645</v>
      </c>
      <c r="I48" s="14" t="s">
        <v>199</v>
      </c>
      <c r="K48" s="14" t="s">
        <v>15</v>
      </c>
      <c r="L48" s="14" t="s">
        <v>100</v>
      </c>
      <c r="M48" s="14" t="s">
        <v>100</v>
      </c>
      <c r="N48" s="14" t="s">
        <v>196</v>
      </c>
      <c r="O48" s="14" t="s">
        <v>646</v>
      </c>
      <c r="P48" s="14" t="s">
        <v>17</v>
      </c>
      <c r="Q48" s="14" t="s">
        <v>200</v>
      </c>
      <c r="R48" s="14" t="s">
        <v>647</v>
      </c>
      <c r="S48" s="14" t="s">
        <v>648</v>
      </c>
      <c r="T48" s="14" t="s">
        <v>649</v>
      </c>
      <c r="U48" s="14" t="s">
        <v>650</v>
      </c>
      <c r="V48" s="14">
        <v>9</v>
      </c>
      <c r="W48" s="14" t="s">
        <v>651</v>
      </c>
      <c r="X48" s="14" t="s">
        <v>19</v>
      </c>
      <c r="Y48" s="14" t="s">
        <v>476</v>
      </c>
      <c r="Z48" s="14" t="s">
        <v>36</v>
      </c>
      <c r="AA48" s="14" t="s">
        <v>22</v>
      </c>
      <c r="AB48" s="14">
        <v>22</v>
      </c>
    </row>
    <row r="49" spans="1:28" x14ac:dyDescent="0.25">
      <c r="A49" s="15">
        <v>45834.625370347218</v>
      </c>
      <c r="B49" s="14" t="s">
        <v>193</v>
      </c>
      <c r="C49" s="14" t="s">
        <v>652</v>
      </c>
      <c r="D49" s="14" t="s">
        <v>653</v>
      </c>
      <c r="E49" s="14" t="s">
        <v>196</v>
      </c>
      <c r="F49" s="14" t="s">
        <v>197</v>
      </c>
      <c r="G49" s="14" t="s">
        <v>654</v>
      </c>
      <c r="H49" s="14" t="s">
        <v>655</v>
      </c>
      <c r="I49" s="14" t="s">
        <v>199</v>
      </c>
      <c r="K49" s="14" t="s">
        <v>100</v>
      </c>
      <c r="L49" s="14" t="s">
        <v>100</v>
      </c>
      <c r="M49" s="14" t="s">
        <v>100</v>
      </c>
      <c r="N49" s="14" t="s">
        <v>196</v>
      </c>
      <c r="O49" s="14" t="s">
        <v>656</v>
      </c>
      <c r="P49" s="14" t="s">
        <v>17</v>
      </c>
      <c r="Q49" s="14" t="s">
        <v>200</v>
      </c>
      <c r="R49" s="14" t="s">
        <v>657</v>
      </c>
      <c r="S49" s="14" t="s">
        <v>658</v>
      </c>
      <c r="T49" s="14" t="s">
        <v>659</v>
      </c>
      <c r="U49" s="14" t="s">
        <v>660</v>
      </c>
      <c r="V49" s="14">
        <v>10</v>
      </c>
      <c r="W49" s="14" t="s">
        <v>661</v>
      </c>
      <c r="X49" s="14" t="s">
        <v>19</v>
      </c>
      <c r="Y49" s="14" t="s">
        <v>662</v>
      </c>
      <c r="Z49" s="14" t="s">
        <v>21</v>
      </c>
      <c r="AA49" s="14" t="s">
        <v>31</v>
      </c>
      <c r="AB49" s="14">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6946-7648-4F85-ABEB-F662B7C6C103}">
  <dimension ref="A1:R270"/>
  <sheetViews>
    <sheetView workbookViewId="0">
      <selection activeCell="B4" sqref="B4"/>
    </sheetView>
  </sheetViews>
  <sheetFormatPr defaultRowHeight="12.5" x14ac:dyDescent="0.25"/>
  <cols>
    <col min="1" max="1" width="18.90625" style="17" customWidth="1"/>
    <col min="2" max="2" width="30" style="17" customWidth="1"/>
    <col min="3" max="14" width="37.6328125" style="17" customWidth="1"/>
    <col min="15" max="15" width="54.36328125" style="17" customWidth="1"/>
    <col min="16" max="16" width="27.453125" style="17" customWidth="1"/>
    <col min="17" max="17" width="20.453125" style="17" customWidth="1"/>
    <col min="18" max="18" width="37.6328125" style="17" customWidth="1"/>
    <col min="19" max="16384" width="8.7265625" style="17"/>
  </cols>
  <sheetData>
    <row r="1" spans="1:18" x14ac:dyDescent="0.25">
      <c r="A1" s="18" t="s">
        <v>0</v>
      </c>
      <c r="B1" s="18" t="s">
        <v>663</v>
      </c>
      <c r="C1" s="19" t="s">
        <v>664</v>
      </c>
      <c r="D1" s="18" t="s">
        <v>665</v>
      </c>
      <c r="E1" s="19" t="s">
        <v>666</v>
      </c>
      <c r="F1" s="19" t="s">
        <v>667</v>
      </c>
      <c r="G1" s="19" t="s">
        <v>668</v>
      </c>
      <c r="H1" s="19" t="s">
        <v>669</v>
      </c>
      <c r="I1" s="19" t="s">
        <v>670</v>
      </c>
      <c r="J1" s="19" t="s">
        <v>671</v>
      </c>
      <c r="K1" s="19" t="s">
        <v>672</v>
      </c>
      <c r="L1" s="19" t="s">
        <v>673</v>
      </c>
      <c r="M1" s="19" t="s">
        <v>674</v>
      </c>
      <c r="N1" s="18" t="s">
        <v>675</v>
      </c>
      <c r="O1" s="18" t="s">
        <v>676</v>
      </c>
      <c r="P1" s="18" t="s">
        <v>8</v>
      </c>
      <c r="Q1" s="18" t="s">
        <v>11</v>
      </c>
      <c r="R1" s="18" t="s">
        <v>677</v>
      </c>
    </row>
    <row r="2" spans="1:18" x14ac:dyDescent="0.25">
      <c r="A2" s="20">
        <v>45702.433693240746</v>
      </c>
      <c r="B2" s="21" t="s">
        <v>678</v>
      </c>
      <c r="C2" s="21" t="s">
        <v>679</v>
      </c>
      <c r="E2" s="21">
        <v>5</v>
      </c>
      <c r="F2" s="21">
        <v>5</v>
      </c>
      <c r="G2" s="21">
        <v>5</v>
      </c>
      <c r="H2" s="21">
        <v>5</v>
      </c>
      <c r="I2" s="21">
        <v>5</v>
      </c>
      <c r="J2" s="21">
        <v>4</v>
      </c>
      <c r="K2" s="21">
        <v>4</v>
      </c>
      <c r="L2" s="21" t="s">
        <v>680</v>
      </c>
      <c r="M2" s="21" t="s">
        <v>681</v>
      </c>
      <c r="N2" s="21" t="s">
        <v>682</v>
      </c>
      <c r="O2" s="21" t="s">
        <v>683</v>
      </c>
      <c r="P2" s="21" t="s">
        <v>684</v>
      </c>
      <c r="Q2" s="21" t="s">
        <v>22</v>
      </c>
      <c r="R2" s="21" t="s">
        <v>685</v>
      </c>
    </row>
    <row r="3" spans="1:18" x14ac:dyDescent="0.25">
      <c r="A3" s="20">
        <v>45702.437386134261</v>
      </c>
      <c r="B3" s="21" t="s">
        <v>678</v>
      </c>
      <c r="C3" s="21" t="s">
        <v>679</v>
      </c>
      <c r="D3" s="21" t="s">
        <v>686</v>
      </c>
      <c r="E3" s="21">
        <v>5</v>
      </c>
      <c r="F3" s="21">
        <v>5</v>
      </c>
      <c r="G3" s="21">
        <v>5</v>
      </c>
      <c r="H3" s="21">
        <v>5</v>
      </c>
      <c r="I3" s="21">
        <v>5</v>
      </c>
      <c r="J3" s="21">
        <v>5</v>
      </c>
      <c r="K3" s="21">
        <v>5</v>
      </c>
      <c r="L3" s="21" t="s">
        <v>687</v>
      </c>
      <c r="M3" s="21" t="s">
        <v>100</v>
      </c>
      <c r="N3" s="21" t="s">
        <v>688</v>
      </c>
      <c r="O3" s="21" t="s">
        <v>689</v>
      </c>
      <c r="P3" s="21" t="s">
        <v>684</v>
      </c>
      <c r="Q3" s="21" t="s">
        <v>22</v>
      </c>
      <c r="R3" s="21" t="s">
        <v>685</v>
      </c>
    </row>
    <row r="4" spans="1:18" x14ac:dyDescent="0.25">
      <c r="A4" s="20">
        <v>45702.439711180559</v>
      </c>
      <c r="B4" s="21" t="s">
        <v>690</v>
      </c>
      <c r="C4" s="21" t="s">
        <v>679</v>
      </c>
      <c r="D4" s="21" t="s">
        <v>691</v>
      </c>
      <c r="E4" s="21">
        <v>5</v>
      </c>
      <c r="F4" s="21">
        <v>5</v>
      </c>
      <c r="G4" s="21">
        <v>5</v>
      </c>
      <c r="H4" s="21">
        <v>5</v>
      </c>
      <c r="I4" s="21">
        <v>5</v>
      </c>
      <c r="J4" s="21">
        <v>5</v>
      </c>
      <c r="K4" s="21">
        <v>5</v>
      </c>
      <c r="L4" s="21" t="s">
        <v>687</v>
      </c>
      <c r="M4" s="21" t="s">
        <v>100</v>
      </c>
      <c r="N4" s="21" t="s">
        <v>692</v>
      </c>
      <c r="O4" s="21" t="s">
        <v>693</v>
      </c>
      <c r="P4" s="21" t="s">
        <v>684</v>
      </c>
      <c r="Q4" s="21" t="s">
        <v>22</v>
      </c>
      <c r="R4" s="21" t="s">
        <v>685</v>
      </c>
    </row>
    <row r="5" spans="1:18" x14ac:dyDescent="0.25">
      <c r="A5" s="20">
        <v>45702.479516469903</v>
      </c>
      <c r="B5" s="21" t="s">
        <v>678</v>
      </c>
      <c r="C5" s="21" t="s">
        <v>679</v>
      </c>
      <c r="E5" s="21">
        <v>5</v>
      </c>
      <c r="F5" s="21">
        <v>5</v>
      </c>
      <c r="G5" s="21">
        <v>5</v>
      </c>
      <c r="H5" s="21">
        <v>5</v>
      </c>
      <c r="I5" s="21">
        <v>5</v>
      </c>
      <c r="J5" s="21">
        <v>5</v>
      </c>
      <c r="K5" s="21">
        <v>5</v>
      </c>
      <c r="L5" s="21" t="s">
        <v>680</v>
      </c>
      <c r="M5" s="21" t="s">
        <v>100</v>
      </c>
      <c r="N5" s="21" t="s">
        <v>694</v>
      </c>
      <c r="O5" s="21" t="s">
        <v>230</v>
      </c>
      <c r="P5" s="21" t="s">
        <v>684</v>
      </c>
      <c r="Q5" s="21" t="s">
        <v>22</v>
      </c>
      <c r="R5" s="21" t="s">
        <v>685</v>
      </c>
    </row>
    <row r="6" spans="1:18" x14ac:dyDescent="0.25">
      <c r="A6" s="20">
        <v>45702.480604884258</v>
      </c>
      <c r="B6" s="21" t="s">
        <v>690</v>
      </c>
      <c r="C6" s="21" t="s">
        <v>679</v>
      </c>
      <c r="E6" s="21">
        <v>5</v>
      </c>
      <c r="F6" s="21">
        <v>5</v>
      </c>
      <c r="G6" s="21">
        <v>5</v>
      </c>
      <c r="H6" s="21">
        <v>5</v>
      </c>
      <c r="I6" s="21">
        <v>5</v>
      </c>
      <c r="J6" s="21">
        <v>5</v>
      </c>
      <c r="K6" s="21">
        <v>5</v>
      </c>
      <c r="L6" s="21" t="s">
        <v>680</v>
      </c>
      <c r="M6" s="21" t="s">
        <v>100</v>
      </c>
      <c r="N6" s="21" t="s">
        <v>695</v>
      </c>
      <c r="O6" s="21" t="s">
        <v>230</v>
      </c>
      <c r="P6" s="21" t="s">
        <v>684</v>
      </c>
      <c r="Q6" s="21" t="s">
        <v>22</v>
      </c>
      <c r="R6" s="21" t="s">
        <v>685</v>
      </c>
    </row>
    <row r="7" spans="1:18" x14ac:dyDescent="0.25">
      <c r="A7" s="20">
        <v>45702.49274829861</v>
      </c>
      <c r="B7" s="21" t="s">
        <v>678</v>
      </c>
      <c r="C7" s="21" t="s">
        <v>679</v>
      </c>
      <c r="D7" s="21" t="s">
        <v>696</v>
      </c>
      <c r="E7" s="21">
        <v>5</v>
      </c>
      <c r="F7" s="21">
        <v>5</v>
      </c>
      <c r="G7" s="21">
        <v>5</v>
      </c>
      <c r="H7" s="21">
        <v>5</v>
      </c>
      <c r="I7" s="21">
        <v>5</v>
      </c>
      <c r="J7" s="21">
        <v>5</v>
      </c>
      <c r="K7" s="21">
        <v>5</v>
      </c>
      <c r="L7" s="21" t="s">
        <v>680</v>
      </c>
      <c r="M7" s="21" t="s">
        <v>100</v>
      </c>
      <c r="N7" s="21" t="s">
        <v>697</v>
      </c>
      <c r="O7" s="21" t="s">
        <v>698</v>
      </c>
      <c r="P7" s="21" t="s">
        <v>684</v>
      </c>
      <c r="Q7" s="21" t="s">
        <v>22</v>
      </c>
      <c r="R7" s="21" t="s">
        <v>685</v>
      </c>
    </row>
    <row r="8" spans="1:18" x14ac:dyDescent="0.25">
      <c r="A8" s="20">
        <v>45702.613659594906</v>
      </c>
      <c r="B8" s="21" t="s">
        <v>678</v>
      </c>
      <c r="C8" s="21" t="s">
        <v>679</v>
      </c>
      <c r="E8" s="21">
        <v>5</v>
      </c>
      <c r="F8" s="21">
        <v>5</v>
      </c>
      <c r="G8" s="21">
        <v>5</v>
      </c>
      <c r="H8" s="21">
        <v>5</v>
      </c>
      <c r="I8" s="21">
        <v>5</v>
      </c>
      <c r="J8" s="21">
        <v>5</v>
      </c>
      <c r="K8" s="21">
        <v>5</v>
      </c>
      <c r="L8" s="21" t="s">
        <v>687</v>
      </c>
      <c r="M8" s="21" t="s">
        <v>100</v>
      </c>
      <c r="N8" s="21" t="s">
        <v>699</v>
      </c>
      <c r="O8" s="21" t="s">
        <v>700</v>
      </c>
      <c r="P8" s="21" t="s">
        <v>684</v>
      </c>
      <c r="Q8" s="21" t="s">
        <v>22</v>
      </c>
      <c r="R8" s="21" t="s">
        <v>685</v>
      </c>
    </row>
    <row r="9" spans="1:18" x14ac:dyDescent="0.25">
      <c r="A9" s="20">
        <v>45702.988990960643</v>
      </c>
      <c r="B9" s="21" t="s">
        <v>678</v>
      </c>
      <c r="C9" s="21" t="s">
        <v>679</v>
      </c>
      <c r="D9" s="21" t="s">
        <v>701</v>
      </c>
      <c r="E9" s="21">
        <v>5</v>
      </c>
      <c r="F9" s="21">
        <v>5</v>
      </c>
      <c r="G9" s="21">
        <v>5</v>
      </c>
      <c r="H9" s="21">
        <v>5</v>
      </c>
      <c r="I9" s="21">
        <v>5</v>
      </c>
      <c r="J9" s="21">
        <v>5</v>
      </c>
      <c r="K9" s="21">
        <v>5</v>
      </c>
      <c r="L9" s="21" t="s">
        <v>680</v>
      </c>
      <c r="M9" s="21" t="s">
        <v>100</v>
      </c>
      <c r="N9" s="21" t="s">
        <v>702</v>
      </c>
      <c r="O9" s="21" t="s">
        <v>199</v>
      </c>
      <c r="P9" s="21" t="s">
        <v>684</v>
      </c>
      <c r="Q9" s="21" t="s">
        <v>22</v>
      </c>
      <c r="R9" s="21" t="s">
        <v>685</v>
      </c>
    </row>
    <row r="10" spans="1:18" x14ac:dyDescent="0.25">
      <c r="A10" s="20">
        <v>45703.042378148151</v>
      </c>
      <c r="B10" s="21" t="s">
        <v>678</v>
      </c>
      <c r="C10" s="21" t="s">
        <v>703</v>
      </c>
      <c r="E10" s="21">
        <v>4</v>
      </c>
      <c r="F10" s="21">
        <v>5</v>
      </c>
      <c r="G10" s="21">
        <v>5</v>
      </c>
      <c r="H10" s="21">
        <v>5</v>
      </c>
      <c r="I10" s="21">
        <v>4</v>
      </c>
      <c r="J10" s="21">
        <v>5</v>
      </c>
      <c r="K10" s="21">
        <v>5</v>
      </c>
      <c r="L10" s="21" t="s">
        <v>680</v>
      </c>
      <c r="M10" s="21" t="s">
        <v>100</v>
      </c>
      <c r="N10" s="21" t="s">
        <v>704</v>
      </c>
      <c r="O10" s="21" t="s">
        <v>705</v>
      </c>
      <c r="P10" s="21" t="s">
        <v>684</v>
      </c>
      <c r="Q10" s="21" t="s">
        <v>22</v>
      </c>
      <c r="R10" s="21" t="s">
        <v>685</v>
      </c>
    </row>
    <row r="11" spans="1:18" x14ac:dyDescent="0.25">
      <c r="A11" s="20">
        <v>45703.043840613427</v>
      </c>
      <c r="B11" s="21" t="s">
        <v>690</v>
      </c>
      <c r="C11" s="21" t="s">
        <v>679</v>
      </c>
      <c r="E11" s="21">
        <v>5</v>
      </c>
      <c r="F11" s="21">
        <v>5</v>
      </c>
      <c r="G11" s="21">
        <v>5</v>
      </c>
      <c r="H11" s="21">
        <v>5</v>
      </c>
      <c r="I11" s="21">
        <v>4</v>
      </c>
      <c r="J11" s="21">
        <v>4</v>
      </c>
      <c r="K11" s="21">
        <v>4</v>
      </c>
      <c r="L11" s="21" t="s">
        <v>680</v>
      </c>
      <c r="M11" s="21" t="s">
        <v>681</v>
      </c>
      <c r="N11" s="21" t="s">
        <v>706</v>
      </c>
      <c r="O11" s="21" t="s">
        <v>707</v>
      </c>
      <c r="P11" s="21" t="s">
        <v>684</v>
      </c>
      <c r="Q11" s="21" t="s">
        <v>22</v>
      </c>
      <c r="R11" s="21" t="s">
        <v>685</v>
      </c>
    </row>
    <row r="12" spans="1:18" x14ac:dyDescent="0.25">
      <c r="A12" s="20">
        <v>45703.044228888888</v>
      </c>
      <c r="B12" s="21" t="s">
        <v>690</v>
      </c>
      <c r="C12" s="21" t="s">
        <v>679</v>
      </c>
      <c r="E12" s="21">
        <v>5</v>
      </c>
      <c r="F12" s="21">
        <v>5</v>
      </c>
      <c r="G12" s="21">
        <v>5</v>
      </c>
      <c r="H12" s="21">
        <v>5</v>
      </c>
      <c r="I12" s="21">
        <v>5</v>
      </c>
      <c r="J12" s="21">
        <v>4</v>
      </c>
      <c r="K12" s="21">
        <v>5</v>
      </c>
      <c r="L12" s="21" t="s">
        <v>680</v>
      </c>
      <c r="M12" s="21" t="s">
        <v>100</v>
      </c>
      <c r="N12" s="21" t="s">
        <v>708</v>
      </c>
      <c r="O12" s="21" t="s">
        <v>705</v>
      </c>
      <c r="P12" s="21" t="s">
        <v>684</v>
      </c>
      <c r="Q12" s="21" t="s">
        <v>22</v>
      </c>
      <c r="R12" s="21" t="s">
        <v>685</v>
      </c>
    </row>
    <row r="13" spans="1:18" x14ac:dyDescent="0.25">
      <c r="A13" s="20">
        <v>45703.04499037037</v>
      </c>
      <c r="B13" s="21" t="s">
        <v>678</v>
      </c>
      <c r="C13" s="21" t="s">
        <v>679</v>
      </c>
      <c r="E13" s="21">
        <v>5</v>
      </c>
      <c r="F13" s="21">
        <v>5</v>
      </c>
      <c r="G13" s="21">
        <v>5</v>
      </c>
      <c r="H13" s="21">
        <v>5</v>
      </c>
      <c r="I13" s="21">
        <v>5</v>
      </c>
      <c r="J13" s="21">
        <v>5</v>
      </c>
      <c r="K13" s="21">
        <v>5</v>
      </c>
      <c r="L13" s="21" t="s">
        <v>680</v>
      </c>
      <c r="M13" s="21" t="s">
        <v>100</v>
      </c>
      <c r="N13" s="21" t="s">
        <v>709</v>
      </c>
      <c r="O13" s="21" t="s">
        <v>710</v>
      </c>
      <c r="P13" s="21" t="s">
        <v>684</v>
      </c>
      <c r="Q13" s="21" t="s">
        <v>22</v>
      </c>
      <c r="R13" s="21" t="s">
        <v>685</v>
      </c>
    </row>
    <row r="14" spans="1:18" x14ac:dyDescent="0.25">
      <c r="A14" s="20">
        <v>45703.045617453703</v>
      </c>
      <c r="B14" s="21" t="s">
        <v>690</v>
      </c>
      <c r="C14" s="21" t="s">
        <v>679</v>
      </c>
      <c r="E14" s="21">
        <v>5</v>
      </c>
      <c r="F14" s="21">
        <v>5</v>
      </c>
      <c r="G14" s="21">
        <v>5</v>
      </c>
      <c r="H14" s="21">
        <v>5</v>
      </c>
      <c r="I14" s="21">
        <v>5</v>
      </c>
      <c r="J14" s="21">
        <v>5</v>
      </c>
      <c r="K14" s="21">
        <v>5</v>
      </c>
      <c r="L14" s="21" t="s">
        <v>680</v>
      </c>
      <c r="M14" s="21" t="s">
        <v>100</v>
      </c>
      <c r="N14" s="21" t="s">
        <v>711</v>
      </c>
      <c r="O14" s="21" t="s">
        <v>712</v>
      </c>
      <c r="P14" s="21" t="s">
        <v>684</v>
      </c>
      <c r="Q14" s="21" t="s">
        <v>22</v>
      </c>
      <c r="R14" s="21" t="s">
        <v>685</v>
      </c>
    </row>
    <row r="15" spans="1:18" x14ac:dyDescent="0.25">
      <c r="A15" s="20">
        <v>45703.047255949074</v>
      </c>
      <c r="B15" s="21" t="s">
        <v>678</v>
      </c>
      <c r="C15" s="21" t="s">
        <v>679</v>
      </c>
      <c r="E15" s="21">
        <v>5</v>
      </c>
      <c r="F15" s="21">
        <v>5</v>
      </c>
      <c r="G15" s="21">
        <v>5</v>
      </c>
      <c r="H15" s="21">
        <v>5</v>
      </c>
      <c r="I15" s="21">
        <v>5</v>
      </c>
      <c r="J15" s="21">
        <v>5</v>
      </c>
      <c r="K15" s="21">
        <v>4</v>
      </c>
      <c r="L15" s="21" t="s">
        <v>687</v>
      </c>
      <c r="M15" s="21" t="s">
        <v>100</v>
      </c>
      <c r="N15" s="21" t="s">
        <v>713</v>
      </c>
      <c r="O15" s="21" t="s">
        <v>356</v>
      </c>
      <c r="P15" s="21" t="s">
        <v>684</v>
      </c>
      <c r="Q15" s="21" t="s">
        <v>22</v>
      </c>
      <c r="R15" s="21" t="s">
        <v>685</v>
      </c>
    </row>
    <row r="16" spans="1:18" x14ac:dyDescent="0.25">
      <c r="A16" s="20">
        <v>45703.048331377315</v>
      </c>
      <c r="B16" s="21" t="s">
        <v>678</v>
      </c>
      <c r="C16" s="21" t="s">
        <v>679</v>
      </c>
      <c r="D16" s="21" t="s">
        <v>714</v>
      </c>
      <c r="E16" s="21">
        <v>5</v>
      </c>
      <c r="F16" s="21">
        <v>5</v>
      </c>
      <c r="G16" s="21">
        <v>5</v>
      </c>
      <c r="H16" s="21">
        <v>5</v>
      </c>
      <c r="I16" s="21">
        <v>5</v>
      </c>
      <c r="J16" s="21">
        <v>4</v>
      </c>
      <c r="K16" s="21">
        <v>5</v>
      </c>
      <c r="L16" s="21" t="s">
        <v>680</v>
      </c>
      <c r="M16" s="21" t="s">
        <v>681</v>
      </c>
      <c r="N16" s="21" t="s">
        <v>715</v>
      </c>
      <c r="O16" s="21" t="s">
        <v>716</v>
      </c>
      <c r="P16" s="21" t="s">
        <v>684</v>
      </c>
      <c r="Q16" s="21" t="s">
        <v>22</v>
      </c>
      <c r="R16" s="21" t="s">
        <v>685</v>
      </c>
    </row>
    <row r="17" spans="1:18" x14ac:dyDescent="0.25">
      <c r="A17" s="20">
        <v>45703.054277407406</v>
      </c>
      <c r="B17" s="21" t="s">
        <v>678</v>
      </c>
      <c r="C17" s="21" t="s">
        <v>679</v>
      </c>
      <c r="E17" s="21">
        <v>5</v>
      </c>
      <c r="F17" s="21">
        <v>5</v>
      </c>
      <c r="G17" s="21">
        <v>5</v>
      </c>
      <c r="H17" s="21">
        <v>5</v>
      </c>
      <c r="I17" s="21">
        <v>5</v>
      </c>
      <c r="J17" s="21">
        <v>5</v>
      </c>
      <c r="K17" s="21">
        <v>5</v>
      </c>
      <c r="L17" s="21" t="s">
        <v>680</v>
      </c>
      <c r="M17" s="21" t="s">
        <v>100</v>
      </c>
      <c r="N17" s="21" t="s">
        <v>717</v>
      </c>
      <c r="O17" s="21" t="s">
        <v>718</v>
      </c>
      <c r="P17" s="21" t="s">
        <v>684</v>
      </c>
      <c r="Q17" s="21" t="s">
        <v>31</v>
      </c>
      <c r="R17" s="21" t="s">
        <v>685</v>
      </c>
    </row>
    <row r="18" spans="1:18" x14ac:dyDescent="0.25">
      <c r="A18" s="20">
        <v>45703.086009513892</v>
      </c>
      <c r="B18" s="21" t="s">
        <v>690</v>
      </c>
      <c r="C18" s="21" t="s">
        <v>679</v>
      </c>
      <c r="E18" s="21">
        <v>5</v>
      </c>
      <c r="F18" s="21">
        <v>5</v>
      </c>
      <c r="G18" s="21">
        <v>5</v>
      </c>
      <c r="H18" s="21">
        <v>5</v>
      </c>
      <c r="I18" s="21">
        <v>5</v>
      </c>
      <c r="J18" s="21">
        <v>5</v>
      </c>
      <c r="K18" s="21">
        <v>5</v>
      </c>
      <c r="L18" s="21" t="s">
        <v>687</v>
      </c>
      <c r="M18" s="21" t="s">
        <v>100</v>
      </c>
      <c r="N18" s="21" t="s">
        <v>719</v>
      </c>
      <c r="O18" s="21" t="s">
        <v>720</v>
      </c>
      <c r="P18" s="21" t="s">
        <v>684</v>
      </c>
      <c r="Q18" s="21" t="s">
        <v>31</v>
      </c>
      <c r="R18" s="21" t="s">
        <v>685</v>
      </c>
    </row>
    <row r="19" spans="1:18" x14ac:dyDescent="0.25">
      <c r="A19" s="20">
        <v>45703.094696284723</v>
      </c>
      <c r="B19" s="21" t="s">
        <v>690</v>
      </c>
      <c r="C19" s="21" t="s">
        <v>679</v>
      </c>
      <c r="D19" s="21" t="s">
        <v>721</v>
      </c>
      <c r="E19" s="21">
        <v>4</v>
      </c>
      <c r="F19" s="21">
        <v>4</v>
      </c>
      <c r="G19" s="21">
        <v>4</v>
      </c>
      <c r="H19" s="21">
        <v>3</v>
      </c>
      <c r="I19" s="21">
        <v>4</v>
      </c>
      <c r="J19" s="21">
        <v>3</v>
      </c>
      <c r="K19" s="21">
        <v>4</v>
      </c>
      <c r="L19" s="21" t="s">
        <v>680</v>
      </c>
      <c r="M19" s="21" t="s">
        <v>681</v>
      </c>
      <c r="N19" s="21" t="s">
        <v>722</v>
      </c>
      <c r="O19" s="21" t="s">
        <v>723</v>
      </c>
      <c r="P19" s="21" t="s">
        <v>684</v>
      </c>
      <c r="Q19" s="21" t="s">
        <v>22</v>
      </c>
      <c r="R19" s="21" t="s">
        <v>685</v>
      </c>
    </row>
    <row r="20" spans="1:18" x14ac:dyDescent="0.25">
      <c r="A20" s="20">
        <v>45703.37280164352</v>
      </c>
      <c r="B20" s="21" t="s">
        <v>690</v>
      </c>
      <c r="C20" s="21" t="s">
        <v>679</v>
      </c>
      <c r="D20" s="21" t="s">
        <v>724</v>
      </c>
      <c r="E20" s="21">
        <v>5</v>
      </c>
      <c r="F20" s="21">
        <v>5</v>
      </c>
      <c r="G20" s="21">
        <v>5</v>
      </c>
      <c r="H20" s="21">
        <v>5</v>
      </c>
      <c r="I20" s="21">
        <v>5</v>
      </c>
      <c r="J20" s="21">
        <v>5</v>
      </c>
      <c r="K20" s="21">
        <v>5</v>
      </c>
      <c r="L20" s="21" t="s">
        <v>680</v>
      </c>
      <c r="M20" s="21" t="s">
        <v>100</v>
      </c>
      <c r="N20" s="21" t="s">
        <v>725</v>
      </c>
      <c r="O20" s="21" t="s">
        <v>726</v>
      </c>
      <c r="P20" s="21" t="s">
        <v>684</v>
      </c>
      <c r="Q20" s="21" t="s">
        <v>22</v>
      </c>
      <c r="R20" s="21" t="s">
        <v>685</v>
      </c>
    </row>
    <row r="21" spans="1:18" x14ac:dyDescent="0.25">
      <c r="A21" s="20">
        <v>45703.38651394676</v>
      </c>
      <c r="B21" s="21" t="s">
        <v>727</v>
      </c>
      <c r="C21" s="21" t="s">
        <v>679</v>
      </c>
      <c r="D21" s="21" t="s">
        <v>728</v>
      </c>
      <c r="E21" s="21">
        <v>5</v>
      </c>
      <c r="F21" s="21">
        <v>5</v>
      </c>
      <c r="G21" s="21">
        <v>5</v>
      </c>
      <c r="H21" s="21">
        <v>5</v>
      </c>
      <c r="I21" s="21">
        <v>5</v>
      </c>
      <c r="J21" s="21">
        <v>5</v>
      </c>
      <c r="K21" s="21">
        <v>5</v>
      </c>
      <c r="L21" s="21" t="s">
        <v>687</v>
      </c>
      <c r="M21" s="21" t="s">
        <v>100</v>
      </c>
      <c r="N21" s="21" t="s">
        <v>729</v>
      </c>
      <c r="O21" s="21" t="s">
        <v>730</v>
      </c>
      <c r="P21" s="21" t="s">
        <v>684</v>
      </c>
      <c r="Q21" s="21" t="s">
        <v>22</v>
      </c>
      <c r="R21" s="21" t="s">
        <v>685</v>
      </c>
    </row>
    <row r="22" spans="1:18" x14ac:dyDescent="0.25">
      <c r="A22" s="20">
        <v>45703.392647037035</v>
      </c>
      <c r="B22" s="21" t="s">
        <v>727</v>
      </c>
      <c r="C22" s="21" t="s">
        <v>679</v>
      </c>
      <c r="E22" s="21">
        <v>5</v>
      </c>
      <c r="F22" s="21">
        <v>5</v>
      </c>
      <c r="G22" s="21">
        <v>5</v>
      </c>
      <c r="H22" s="21">
        <v>5</v>
      </c>
      <c r="I22" s="21">
        <v>5</v>
      </c>
      <c r="J22" s="21">
        <v>5</v>
      </c>
      <c r="K22" s="21">
        <v>5</v>
      </c>
      <c r="L22" s="21" t="s">
        <v>680</v>
      </c>
      <c r="M22" s="21" t="s">
        <v>100</v>
      </c>
      <c r="N22" s="21" t="s">
        <v>731</v>
      </c>
      <c r="O22" s="21" t="s">
        <v>732</v>
      </c>
      <c r="P22" s="21" t="s">
        <v>684</v>
      </c>
      <c r="Q22" s="21" t="s">
        <v>22</v>
      </c>
      <c r="R22" s="21" t="s">
        <v>685</v>
      </c>
    </row>
    <row r="23" spans="1:18" x14ac:dyDescent="0.25">
      <c r="A23" s="20">
        <v>45703.555639803242</v>
      </c>
      <c r="B23" s="21" t="s">
        <v>690</v>
      </c>
      <c r="C23" s="21" t="s">
        <v>679</v>
      </c>
      <c r="D23" s="21" t="s">
        <v>733</v>
      </c>
      <c r="E23" s="21">
        <v>5</v>
      </c>
      <c r="F23" s="21">
        <v>5</v>
      </c>
      <c r="G23" s="21">
        <v>5</v>
      </c>
      <c r="H23" s="21">
        <v>5</v>
      </c>
      <c r="I23" s="21">
        <v>5</v>
      </c>
      <c r="J23" s="21">
        <v>5</v>
      </c>
      <c r="K23" s="21">
        <v>5</v>
      </c>
      <c r="L23" s="21" t="s">
        <v>680</v>
      </c>
      <c r="M23" s="21" t="s">
        <v>100</v>
      </c>
      <c r="N23" s="21" t="s">
        <v>695</v>
      </c>
      <c r="O23" s="21" t="s">
        <v>734</v>
      </c>
      <c r="P23" s="21" t="s">
        <v>684</v>
      </c>
      <c r="Q23" s="21" t="s">
        <v>22</v>
      </c>
      <c r="R23" s="21" t="s">
        <v>685</v>
      </c>
    </row>
    <row r="24" spans="1:18" x14ac:dyDescent="0.25">
      <c r="A24" s="20">
        <v>45703.557288668977</v>
      </c>
      <c r="B24" s="21" t="s">
        <v>727</v>
      </c>
      <c r="C24" s="21" t="s">
        <v>679</v>
      </c>
      <c r="D24" s="21" t="s">
        <v>324</v>
      </c>
      <c r="E24" s="21">
        <v>5</v>
      </c>
      <c r="F24" s="21">
        <v>5</v>
      </c>
      <c r="G24" s="21">
        <v>5</v>
      </c>
      <c r="H24" s="21">
        <v>5</v>
      </c>
      <c r="I24" s="21">
        <v>5</v>
      </c>
      <c r="J24" s="21">
        <v>5</v>
      </c>
      <c r="K24" s="21">
        <v>5</v>
      </c>
      <c r="L24" s="21" t="s">
        <v>680</v>
      </c>
      <c r="M24" s="21" t="s">
        <v>100</v>
      </c>
      <c r="N24" s="21" t="s">
        <v>735</v>
      </c>
      <c r="O24" s="21" t="s">
        <v>736</v>
      </c>
      <c r="P24" s="21" t="s">
        <v>684</v>
      </c>
      <c r="Q24" s="21" t="s">
        <v>22</v>
      </c>
      <c r="R24" s="21" t="s">
        <v>685</v>
      </c>
    </row>
    <row r="25" spans="1:18" x14ac:dyDescent="0.25">
      <c r="A25" s="20">
        <v>45703.557741192126</v>
      </c>
      <c r="B25" s="21" t="s">
        <v>727</v>
      </c>
      <c r="C25" s="21" t="s">
        <v>679</v>
      </c>
      <c r="D25" s="21" t="s">
        <v>737</v>
      </c>
      <c r="E25" s="21">
        <v>4</v>
      </c>
      <c r="F25" s="21">
        <v>4</v>
      </c>
      <c r="G25" s="21">
        <v>4</v>
      </c>
      <c r="H25" s="21">
        <v>4</v>
      </c>
      <c r="I25" s="21">
        <v>4</v>
      </c>
      <c r="J25" s="21">
        <v>4</v>
      </c>
      <c r="K25" s="21">
        <v>4</v>
      </c>
      <c r="L25" s="21" t="s">
        <v>680</v>
      </c>
      <c r="M25" s="21" t="s">
        <v>681</v>
      </c>
      <c r="N25" s="21" t="s">
        <v>738</v>
      </c>
      <c r="O25" s="21" t="s">
        <v>238</v>
      </c>
      <c r="P25" s="21" t="s">
        <v>684</v>
      </c>
      <c r="Q25" s="21" t="s">
        <v>22</v>
      </c>
      <c r="R25" s="21" t="s">
        <v>685</v>
      </c>
    </row>
    <row r="26" spans="1:18" x14ac:dyDescent="0.25">
      <c r="A26" s="20">
        <v>45703.566417986112</v>
      </c>
      <c r="B26" s="21" t="s">
        <v>690</v>
      </c>
      <c r="C26" s="21" t="s">
        <v>679</v>
      </c>
      <c r="D26" s="21" t="s">
        <v>739</v>
      </c>
      <c r="E26" s="21">
        <v>5</v>
      </c>
      <c r="F26" s="21">
        <v>5</v>
      </c>
      <c r="G26" s="21">
        <v>5</v>
      </c>
      <c r="H26" s="21">
        <v>5</v>
      </c>
      <c r="I26" s="21">
        <v>4</v>
      </c>
      <c r="J26" s="21">
        <v>4</v>
      </c>
      <c r="K26" s="21">
        <v>5</v>
      </c>
      <c r="L26" s="21" t="s">
        <v>680</v>
      </c>
      <c r="M26" s="21" t="s">
        <v>100</v>
      </c>
      <c r="N26" s="21" t="s">
        <v>740</v>
      </c>
      <c r="O26" s="21" t="s">
        <v>741</v>
      </c>
      <c r="P26" s="21" t="s">
        <v>684</v>
      </c>
      <c r="Q26" s="21" t="s">
        <v>22</v>
      </c>
      <c r="R26" s="21" t="s">
        <v>685</v>
      </c>
    </row>
    <row r="27" spans="1:18" x14ac:dyDescent="0.25">
      <c r="A27" s="20">
        <v>45703.570436400463</v>
      </c>
      <c r="B27" s="21" t="s">
        <v>727</v>
      </c>
      <c r="C27" s="21" t="s">
        <v>679</v>
      </c>
      <c r="D27" s="21" t="s">
        <v>742</v>
      </c>
      <c r="E27" s="21">
        <v>5</v>
      </c>
      <c r="F27" s="21">
        <v>5</v>
      </c>
      <c r="G27" s="21">
        <v>4</v>
      </c>
      <c r="H27" s="21">
        <v>5</v>
      </c>
      <c r="I27" s="21">
        <v>5</v>
      </c>
      <c r="J27" s="21">
        <v>4</v>
      </c>
      <c r="K27" s="21">
        <v>5</v>
      </c>
      <c r="L27" s="21" t="s">
        <v>743</v>
      </c>
      <c r="M27" s="21" t="s">
        <v>100</v>
      </c>
      <c r="N27" s="21" t="s">
        <v>744</v>
      </c>
      <c r="O27" s="21" t="s">
        <v>741</v>
      </c>
      <c r="P27" s="21" t="s">
        <v>684</v>
      </c>
      <c r="Q27" s="21" t="s">
        <v>22</v>
      </c>
      <c r="R27" s="21" t="s">
        <v>685</v>
      </c>
    </row>
    <row r="28" spans="1:18" x14ac:dyDescent="0.25">
      <c r="A28" s="20">
        <v>45703.618869479164</v>
      </c>
      <c r="B28" s="21" t="s">
        <v>678</v>
      </c>
      <c r="C28" s="21" t="s">
        <v>703</v>
      </c>
      <c r="D28" s="21" t="s">
        <v>745</v>
      </c>
      <c r="E28" s="21">
        <v>5</v>
      </c>
      <c r="F28" s="21">
        <v>5</v>
      </c>
      <c r="G28" s="21">
        <v>4</v>
      </c>
      <c r="H28" s="21">
        <v>4</v>
      </c>
      <c r="I28" s="21">
        <v>4</v>
      </c>
      <c r="J28" s="21">
        <v>3</v>
      </c>
      <c r="K28" s="21">
        <v>5</v>
      </c>
      <c r="L28" s="21" t="s">
        <v>680</v>
      </c>
      <c r="M28" s="21" t="s">
        <v>16</v>
      </c>
      <c r="N28" s="21" t="s">
        <v>746</v>
      </c>
      <c r="O28" s="21" t="s">
        <v>747</v>
      </c>
      <c r="P28" s="21" t="s">
        <v>684</v>
      </c>
      <c r="Q28" s="21" t="s">
        <v>22</v>
      </c>
      <c r="R28" s="21" t="s">
        <v>685</v>
      </c>
    </row>
    <row r="29" spans="1:18" x14ac:dyDescent="0.25">
      <c r="A29" s="20">
        <v>45703.621998912036</v>
      </c>
      <c r="B29" s="21" t="s">
        <v>690</v>
      </c>
      <c r="C29" s="21" t="s">
        <v>703</v>
      </c>
      <c r="D29" s="21" t="s">
        <v>748</v>
      </c>
      <c r="E29" s="21">
        <v>4</v>
      </c>
      <c r="F29" s="21">
        <v>4</v>
      </c>
      <c r="G29" s="21">
        <v>4</v>
      </c>
      <c r="H29" s="21">
        <v>4</v>
      </c>
      <c r="I29" s="21">
        <v>4</v>
      </c>
      <c r="J29" s="21">
        <v>4</v>
      </c>
      <c r="K29" s="21">
        <v>4</v>
      </c>
      <c r="L29" s="21" t="s">
        <v>680</v>
      </c>
      <c r="M29" s="21" t="s">
        <v>16</v>
      </c>
      <c r="N29" s="21" t="s">
        <v>749</v>
      </c>
      <c r="O29" s="21" t="s">
        <v>750</v>
      </c>
      <c r="P29" s="21" t="s">
        <v>684</v>
      </c>
      <c r="Q29" s="21" t="s">
        <v>22</v>
      </c>
      <c r="R29" s="21" t="s">
        <v>685</v>
      </c>
    </row>
    <row r="30" spans="1:18" x14ac:dyDescent="0.25">
      <c r="A30" s="20">
        <v>45703.626137326384</v>
      </c>
      <c r="B30" s="21" t="s">
        <v>727</v>
      </c>
      <c r="C30" s="21" t="s">
        <v>703</v>
      </c>
      <c r="D30" s="21" t="s">
        <v>751</v>
      </c>
      <c r="E30" s="21">
        <v>4</v>
      </c>
      <c r="F30" s="21">
        <v>4</v>
      </c>
      <c r="G30" s="21">
        <v>4</v>
      </c>
      <c r="H30" s="21">
        <v>4</v>
      </c>
      <c r="I30" s="21">
        <v>4</v>
      </c>
      <c r="J30" s="21">
        <v>4</v>
      </c>
      <c r="K30" s="21">
        <v>4</v>
      </c>
      <c r="L30" s="21" t="s">
        <v>680</v>
      </c>
      <c r="M30" s="21" t="s">
        <v>16</v>
      </c>
      <c r="N30" s="21" t="s">
        <v>752</v>
      </c>
      <c r="O30" s="21" t="s">
        <v>750</v>
      </c>
      <c r="P30" s="21" t="s">
        <v>684</v>
      </c>
      <c r="Q30" s="21" t="s">
        <v>22</v>
      </c>
      <c r="R30" s="21" t="s">
        <v>685</v>
      </c>
    </row>
    <row r="31" spans="1:18" x14ac:dyDescent="0.25">
      <c r="A31" s="20">
        <v>45703.633369398143</v>
      </c>
      <c r="B31" s="21" t="s">
        <v>690</v>
      </c>
      <c r="C31" s="21" t="s">
        <v>679</v>
      </c>
      <c r="E31" s="21">
        <v>5</v>
      </c>
      <c r="F31" s="21">
        <v>4</v>
      </c>
      <c r="G31" s="21">
        <v>5</v>
      </c>
      <c r="H31" s="21">
        <v>5</v>
      </c>
      <c r="I31" s="21">
        <v>4</v>
      </c>
      <c r="J31" s="21">
        <v>5</v>
      </c>
      <c r="K31" s="21">
        <v>4</v>
      </c>
      <c r="L31" s="21" t="s">
        <v>687</v>
      </c>
      <c r="M31" s="21" t="s">
        <v>100</v>
      </c>
      <c r="N31" s="21" t="s">
        <v>753</v>
      </c>
      <c r="O31" s="21" t="s">
        <v>754</v>
      </c>
      <c r="P31" s="21" t="s">
        <v>684</v>
      </c>
      <c r="Q31" s="21" t="s">
        <v>22</v>
      </c>
      <c r="R31" s="21" t="s">
        <v>685</v>
      </c>
    </row>
    <row r="32" spans="1:18" x14ac:dyDescent="0.25">
      <c r="A32" s="20">
        <v>45703.636616180556</v>
      </c>
      <c r="B32" s="21" t="s">
        <v>727</v>
      </c>
      <c r="C32" s="21" t="s">
        <v>679</v>
      </c>
      <c r="E32" s="21">
        <v>5</v>
      </c>
      <c r="F32" s="21">
        <v>5</v>
      </c>
      <c r="G32" s="21">
        <v>4</v>
      </c>
      <c r="H32" s="21">
        <v>5</v>
      </c>
      <c r="I32" s="21">
        <v>4</v>
      </c>
      <c r="J32" s="21">
        <v>4</v>
      </c>
      <c r="K32" s="21">
        <v>4</v>
      </c>
      <c r="L32" s="21" t="s">
        <v>680</v>
      </c>
      <c r="M32" s="21" t="s">
        <v>100</v>
      </c>
      <c r="N32" s="21" t="s">
        <v>753</v>
      </c>
      <c r="O32" s="21" t="s">
        <v>755</v>
      </c>
      <c r="P32" s="21" t="s">
        <v>684</v>
      </c>
      <c r="Q32" s="21" t="s">
        <v>22</v>
      </c>
      <c r="R32" s="21" t="s">
        <v>685</v>
      </c>
    </row>
    <row r="33" spans="1:18" x14ac:dyDescent="0.25">
      <c r="A33" s="20">
        <v>45703.722146550921</v>
      </c>
      <c r="B33" s="21" t="s">
        <v>727</v>
      </c>
      <c r="C33" s="21" t="s">
        <v>703</v>
      </c>
      <c r="E33" s="21">
        <v>5</v>
      </c>
      <c r="F33" s="21">
        <v>5</v>
      </c>
      <c r="G33" s="21">
        <v>5</v>
      </c>
      <c r="H33" s="21">
        <v>5</v>
      </c>
      <c r="I33" s="21">
        <v>4</v>
      </c>
      <c r="J33" s="21">
        <v>4</v>
      </c>
      <c r="K33" s="21">
        <v>5</v>
      </c>
      <c r="L33" s="21" t="s">
        <v>680</v>
      </c>
      <c r="M33" s="21" t="s">
        <v>100</v>
      </c>
      <c r="N33" s="21" t="s">
        <v>756</v>
      </c>
      <c r="O33" s="21" t="s">
        <v>265</v>
      </c>
      <c r="P33" s="21" t="s">
        <v>684</v>
      </c>
      <c r="Q33" s="21" t="s">
        <v>22</v>
      </c>
      <c r="R33" s="21" t="s">
        <v>685</v>
      </c>
    </row>
    <row r="34" spans="1:18" x14ac:dyDescent="0.25">
      <c r="A34" s="20">
        <v>45704.039458275467</v>
      </c>
      <c r="B34" s="21" t="s">
        <v>727</v>
      </c>
      <c r="C34" s="21" t="s">
        <v>679</v>
      </c>
      <c r="D34" s="21" t="s">
        <v>757</v>
      </c>
      <c r="E34" s="21">
        <v>5</v>
      </c>
      <c r="F34" s="21">
        <v>5</v>
      </c>
      <c r="G34" s="21">
        <v>5</v>
      </c>
      <c r="H34" s="21">
        <v>5</v>
      </c>
      <c r="I34" s="21">
        <v>5</v>
      </c>
      <c r="J34" s="21">
        <v>5</v>
      </c>
      <c r="K34" s="21">
        <v>5</v>
      </c>
      <c r="L34" s="21" t="s">
        <v>687</v>
      </c>
      <c r="M34" s="21" t="s">
        <v>100</v>
      </c>
      <c r="N34" s="21" t="s">
        <v>758</v>
      </c>
      <c r="O34" s="21" t="s">
        <v>689</v>
      </c>
      <c r="P34" s="21" t="s">
        <v>684</v>
      </c>
      <c r="Q34" s="21" t="s">
        <v>22</v>
      </c>
      <c r="R34" s="21" t="s">
        <v>685</v>
      </c>
    </row>
    <row r="35" spans="1:18" x14ac:dyDescent="0.25">
      <c r="A35" s="20">
        <v>45704.097509236111</v>
      </c>
      <c r="B35" s="21" t="s">
        <v>678</v>
      </c>
      <c r="C35" s="21" t="s">
        <v>679</v>
      </c>
      <c r="D35" s="21" t="s">
        <v>759</v>
      </c>
      <c r="E35" s="21">
        <v>5</v>
      </c>
      <c r="F35" s="21">
        <v>5</v>
      </c>
      <c r="G35" s="21">
        <v>5</v>
      </c>
      <c r="H35" s="21">
        <v>5</v>
      </c>
      <c r="I35" s="21">
        <v>4</v>
      </c>
      <c r="J35" s="21">
        <v>5</v>
      </c>
      <c r="K35" s="21">
        <v>5</v>
      </c>
      <c r="L35" s="21" t="s">
        <v>680</v>
      </c>
      <c r="M35" s="21" t="s">
        <v>100</v>
      </c>
      <c r="N35" s="21" t="s">
        <v>760</v>
      </c>
      <c r="O35" s="21" t="s">
        <v>761</v>
      </c>
      <c r="P35" s="21" t="s">
        <v>684</v>
      </c>
      <c r="Q35" s="21" t="s">
        <v>22</v>
      </c>
      <c r="R35" s="21" t="s">
        <v>685</v>
      </c>
    </row>
    <row r="36" spans="1:18" x14ac:dyDescent="0.25">
      <c r="A36" s="20">
        <v>45704.21907663194</v>
      </c>
      <c r="B36" s="21" t="s">
        <v>690</v>
      </c>
      <c r="C36" s="21" t="s">
        <v>679</v>
      </c>
      <c r="D36" s="21" t="s">
        <v>762</v>
      </c>
      <c r="E36" s="21">
        <v>5</v>
      </c>
      <c r="F36" s="21">
        <v>5</v>
      </c>
      <c r="G36" s="21">
        <v>5</v>
      </c>
      <c r="H36" s="21">
        <v>5</v>
      </c>
      <c r="I36" s="21">
        <v>5</v>
      </c>
      <c r="J36" s="21">
        <v>5</v>
      </c>
      <c r="K36" s="21">
        <v>5</v>
      </c>
      <c r="L36" s="21" t="s">
        <v>680</v>
      </c>
      <c r="M36" s="21" t="s">
        <v>100</v>
      </c>
      <c r="N36" s="21" t="s">
        <v>763</v>
      </c>
      <c r="O36" s="21" t="s">
        <v>693</v>
      </c>
      <c r="P36" s="21" t="s">
        <v>684</v>
      </c>
      <c r="Q36" s="21" t="s">
        <v>22</v>
      </c>
      <c r="R36" s="21" t="s">
        <v>685</v>
      </c>
    </row>
    <row r="37" spans="1:18" x14ac:dyDescent="0.25">
      <c r="A37" s="20">
        <v>45704.29142706019</v>
      </c>
      <c r="B37" s="21" t="s">
        <v>690</v>
      </c>
      <c r="C37" s="21" t="s">
        <v>679</v>
      </c>
      <c r="D37" s="21" t="s">
        <v>764</v>
      </c>
      <c r="E37" s="21">
        <v>5</v>
      </c>
      <c r="F37" s="21">
        <v>5</v>
      </c>
      <c r="G37" s="21">
        <v>5</v>
      </c>
      <c r="H37" s="21">
        <v>5</v>
      </c>
      <c r="I37" s="21">
        <v>5</v>
      </c>
      <c r="J37" s="21">
        <v>5</v>
      </c>
      <c r="K37" s="21">
        <v>5</v>
      </c>
      <c r="L37" s="21" t="s">
        <v>680</v>
      </c>
      <c r="M37" s="21" t="s">
        <v>100</v>
      </c>
      <c r="N37" s="21" t="s">
        <v>765</v>
      </c>
      <c r="O37" s="21" t="s">
        <v>766</v>
      </c>
      <c r="P37" s="21" t="s">
        <v>684</v>
      </c>
      <c r="Q37" s="21" t="s">
        <v>22</v>
      </c>
      <c r="R37" s="21" t="s">
        <v>685</v>
      </c>
    </row>
    <row r="38" spans="1:18" x14ac:dyDescent="0.25">
      <c r="A38" s="20">
        <v>45704.411354733791</v>
      </c>
      <c r="B38" s="21" t="s">
        <v>727</v>
      </c>
      <c r="C38" s="21" t="s">
        <v>679</v>
      </c>
      <c r="D38" s="21" t="s">
        <v>767</v>
      </c>
      <c r="E38" s="21">
        <v>5</v>
      </c>
      <c r="F38" s="21">
        <v>5</v>
      </c>
      <c r="G38" s="21">
        <v>5</v>
      </c>
      <c r="H38" s="21">
        <v>5</v>
      </c>
      <c r="I38" s="21">
        <v>4</v>
      </c>
      <c r="J38" s="21">
        <v>4</v>
      </c>
      <c r="K38" s="21">
        <v>5</v>
      </c>
      <c r="L38" s="21" t="s">
        <v>687</v>
      </c>
      <c r="M38" s="21" t="s">
        <v>100</v>
      </c>
      <c r="N38" s="21" t="s">
        <v>768</v>
      </c>
      <c r="O38" s="21" t="s">
        <v>199</v>
      </c>
      <c r="P38" s="21" t="s">
        <v>684</v>
      </c>
      <c r="Q38" s="21" t="s">
        <v>22</v>
      </c>
      <c r="R38" s="21" t="s">
        <v>685</v>
      </c>
    </row>
    <row r="39" spans="1:18" x14ac:dyDescent="0.25">
      <c r="A39" s="20">
        <v>45704.471993032406</v>
      </c>
      <c r="B39" s="21" t="s">
        <v>678</v>
      </c>
      <c r="C39" s="21" t="s">
        <v>679</v>
      </c>
      <c r="D39" s="21" t="s">
        <v>769</v>
      </c>
      <c r="E39" s="21">
        <v>4</v>
      </c>
      <c r="F39" s="21">
        <v>3</v>
      </c>
      <c r="G39" s="21">
        <v>5</v>
      </c>
      <c r="H39" s="21">
        <v>4</v>
      </c>
      <c r="I39" s="21">
        <v>3</v>
      </c>
      <c r="J39" s="21">
        <v>4</v>
      </c>
      <c r="K39" s="21">
        <v>4</v>
      </c>
      <c r="L39" s="21" t="s">
        <v>680</v>
      </c>
      <c r="M39" s="21" t="s">
        <v>681</v>
      </c>
      <c r="N39" s="21" t="s">
        <v>770</v>
      </c>
      <c r="O39" s="21" t="s">
        <v>771</v>
      </c>
      <c r="P39" s="21" t="s">
        <v>684</v>
      </c>
      <c r="Q39" s="21" t="s">
        <v>22</v>
      </c>
      <c r="R39" s="21" t="s">
        <v>685</v>
      </c>
    </row>
    <row r="40" spans="1:18" x14ac:dyDescent="0.25">
      <c r="A40" s="20">
        <v>45704.474368553245</v>
      </c>
      <c r="B40" s="21" t="s">
        <v>690</v>
      </c>
      <c r="C40" s="21" t="s">
        <v>679</v>
      </c>
      <c r="D40" s="21" t="s">
        <v>360</v>
      </c>
      <c r="E40" s="21">
        <v>4</v>
      </c>
      <c r="F40" s="21">
        <v>4</v>
      </c>
      <c r="G40" s="21">
        <v>4</v>
      </c>
      <c r="H40" s="21">
        <v>4</v>
      </c>
      <c r="I40" s="21">
        <v>4</v>
      </c>
      <c r="J40" s="21">
        <v>4</v>
      </c>
      <c r="K40" s="21">
        <v>4</v>
      </c>
      <c r="L40" s="21" t="s">
        <v>680</v>
      </c>
      <c r="M40" s="21" t="s">
        <v>681</v>
      </c>
      <c r="N40" s="21" t="s">
        <v>772</v>
      </c>
      <c r="O40" s="21" t="s">
        <v>773</v>
      </c>
      <c r="P40" s="21" t="s">
        <v>684</v>
      </c>
      <c r="Q40" s="21" t="s">
        <v>22</v>
      </c>
      <c r="R40" s="21" t="s">
        <v>685</v>
      </c>
    </row>
    <row r="41" spans="1:18" x14ac:dyDescent="0.25">
      <c r="A41" s="20">
        <v>45704.479684641206</v>
      </c>
      <c r="B41" s="21" t="s">
        <v>727</v>
      </c>
      <c r="C41" s="21" t="s">
        <v>679</v>
      </c>
      <c r="D41" s="21" t="s">
        <v>774</v>
      </c>
      <c r="E41" s="21">
        <v>4</v>
      </c>
      <c r="F41" s="21">
        <v>4</v>
      </c>
      <c r="G41" s="21">
        <v>4</v>
      </c>
      <c r="H41" s="21">
        <v>4</v>
      </c>
      <c r="I41" s="21">
        <v>4</v>
      </c>
      <c r="J41" s="21">
        <v>4</v>
      </c>
      <c r="K41" s="21">
        <v>4</v>
      </c>
      <c r="L41" s="21" t="s">
        <v>680</v>
      </c>
      <c r="M41" s="21" t="s">
        <v>681</v>
      </c>
      <c r="N41" s="21" t="s">
        <v>775</v>
      </c>
      <c r="O41" s="21" t="s">
        <v>776</v>
      </c>
      <c r="P41" s="21" t="s">
        <v>684</v>
      </c>
      <c r="Q41" s="21" t="s">
        <v>22</v>
      </c>
      <c r="R41" s="21" t="s">
        <v>685</v>
      </c>
    </row>
    <row r="42" spans="1:18" x14ac:dyDescent="0.25">
      <c r="A42" s="20">
        <v>45704.521672048606</v>
      </c>
      <c r="B42" s="21" t="s">
        <v>727</v>
      </c>
      <c r="C42" s="21" t="s">
        <v>679</v>
      </c>
      <c r="E42" s="21">
        <v>5</v>
      </c>
      <c r="F42" s="21">
        <v>5</v>
      </c>
      <c r="G42" s="21">
        <v>5</v>
      </c>
      <c r="H42" s="21">
        <v>5</v>
      </c>
      <c r="I42" s="21">
        <v>5</v>
      </c>
      <c r="J42" s="21">
        <v>5</v>
      </c>
      <c r="K42" s="21">
        <v>4</v>
      </c>
      <c r="L42" s="21" t="s">
        <v>680</v>
      </c>
      <c r="M42" s="21" t="s">
        <v>681</v>
      </c>
      <c r="N42" s="21" t="s">
        <v>777</v>
      </c>
      <c r="O42" s="21" t="s">
        <v>707</v>
      </c>
      <c r="P42" s="21" t="s">
        <v>684</v>
      </c>
      <c r="Q42" s="21" t="s">
        <v>22</v>
      </c>
      <c r="R42" s="21" t="s">
        <v>685</v>
      </c>
    </row>
    <row r="43" spans="1:18" x14ac:dyDescent="0.25">
      <c r="A43" s="20">
        <v>45704.662634548615</v>
      </c>
      <c r="B43" s="21" t="s">
        <v>727</v>
      </c>
      <c r="C43" s="21" t="s">
        <v>679</v>
      </c>
      <c r="D43" s="21" t="s">
        <v>778</v>
      </c>
      <c r="E43" s="21">
        <v>5</v>
      </c>
      <c r="F43" s="21">
        <v>5</v>
      </c>
      <c r="G43" s="21">
        <v>5</v>
      </c>
      <c r="H43" s="21">
        <v>5</v>
      </c>
      <c r="I43" s="21">
        <v>4</v>
      </c>
      <c r="J43" s="21">
        <v>5</v>
      </c>
      <c r="K43" s="21">
        <v>5</v>
      </c>
      <c r="L43" s="21" t="s">
        <v>680</v>
      </c>
      <c r="M43" s="21" t="s">
        <v>681</v>
      </c>
      <c r="N43" s="21" t="s">
        <v>779</v>
      </c>
      <c r="O43" s="21" t="s">
        <v>780</v>
      </c>
      <c r="P43" s="21" t="s">
        <v>684</v>
      </c>
      <c r="Q43" s="21" t="s">
        <v>22</v>
      </c>
      <c r="R43" s="21" t="s">
        <v>685</v>
      </c>
    </row>
    <row r="44" spans="1:18" x14ac:dyDescent="0.25">
      <c r="A44" s="20">
        <v>45704.921851226856</v>
      </c>
      <c r="B44" s="21" t="s">
        <v>690</v>
      </c>
      <c r="C44" s="21" t="s">
        <v>703</v>
      </c>
      <c r="D44" s="21" t="s">
        <v>781</v>
      </c>
      <c r="E44" s="21">
        <v>4</v>
      </c>
      <c r="F44" s="21">
        <v>5</v>
      </c>
      <c r="G44" s="21">
        <v>5</v>
      </c>
      <c r="H44" s="21">
        <v>5</v>
      </c>
      <c r="I44" s="21">
        <v>5</v>
      </c>
      <c r="J44" s="21">
        <v>5</v>
      </c>
      <c r="K44" s="21">
        <v>4</v>
      </c>
      <c r="L44" s="21" t="s">
        <v>680</v>
      </c>
      <c r="M44" s="21" t="s">
        <v>681</v>
      </c>
      <c r="N44" s="21" t="s">
        <v>782</v>
      </c>
      <c r="O44" s="21" t="s">
        <v>783</v>
      </c>
      <c r="P44" s="21" t="s">
        <v>684</v>
      </c>
      <c r="Q44" s="21" t="s">
        <v>22</v>
      </c>
      <c r="R44" s="21" t="s">
        <v>685</v>
      </c>
    </row>
    <row r="45" spans="1:18" x14ac:dyDescent="0.25">
      <c r="A45" s="20">
        <v>45705.075958182875</v>
      </c>
      <c r="B45" s="21" t="s">
        <v>727</v>
      </c>
      <c r="C45" s="21" t="s">
        <v>679</v>
      </c>
      <c r="E45" s="21">
        <v>5</v>
      </c>
      <c r="F45" s="21">
        <v>5</v>
      </c>
      <c r="G45" s="21">
        <v>5</v>
      </c>
      <c r="H45" s="21">
        <v>5</v>
      </c>
      <c r="I45" s="21">
        <v>5</v>
      </c>
      <c r="J45" s="21">
        <v>5</v>
      </c>
      <c r="K45" s="21">
        <v>5</v>
      </c>
      <c r="L45" s="21" t="s">
        <v>680</v>
      </c>
      <c r="M45" s="21" t="s">
        <v>100</v>
      </c>
      <c r="N45" s="21" t="s">
        <v>784</v>
      </c>
      <c r="O45" s="21" t="s">
        <v>230</v>
      </c>
      <c r="P45" s="21" t="s">
        <v>684</v>
      </c>
      <c r="Q45" s="21" t="s">
        <v>22</v>
      </c>
      <c r="R45" s="21" t="s">
        <v>685</v>
      </c>
    </row>
    <row r="46" spans="1:18" x14ac:dyDescent="0.25">
      <c r="A46" s="20">
        <v>45705.175788761575</v>
      </c>
      <c r="B46" s="21" t="s">
        <v>678</v>
      </c>
      <c r="C46" s="21" t="s">
        <v>703</v>
      </c>
      <c r="D46" s="21" t="s">
        <v>785</v>
      </c>
      <c r="E46" s="21">
        <v>4</v>
      </c>
      <c r="F46" s="21">
        <v>4</v>
      </c>
      <c r="G46" s="21">
        <v>5</v>
      </c>
      <c r="H46" s="21">
        <v>4</v>
      </c>
      <c r="I46" s="21">
        <v>5</v>
      </c>
      <c r="J46" s="21">
        <v>5</v>
      </c>
      <c r="K46" s="21">
        <v>5</v>
      </c>
      <c r="L46" s="21" t="s">
        <v>687</v>
      </c>
      <c r="M46" s="21" t="s">
        <v>681</v>
      </c>
      <c r="N46" s="21" t="s">
        <v>786</v>
      </c>
      <c r="O46" s="21" t="s">
        <v>787</v>
      </c>
      <c r="P46" s="21" t="s">
        <v>684</v>
      </c>
      <c r="Q46" s="21" t="s">
        <v>22</v>
      </c>
      <c r="R46" s="21" t="s">
        <v>685</v>
      </c>
    </row>
    <row r="47" spans="1:18" x14ac:dyDescent="0.25">
      <c r="A47" s="20">
        <v>45705.179622592594</v>
      </c>
      <c r="B47" s="21" t="s">
        <v>678</v>
      </c>
      <c r="C47" s="21" t="s">
        <v>679</v>
      </c>
      <c r="D47" s="21" t="s">
        <v>788</v>
      </c>
      <c r="E47" s="21">
        <v>5</v>
      </c>
      <c r="F47" s="21">
        <v>5</v>
      </c>
      <c r="G47" s="21">
        <v>5</v>
      </c>
      <c r="H47" s="21">
        <v>5</v>
      </c>
      <c r="I47" s="21">
        <v>5</v>
      </c>
      <c r="J47" s="21">
        <v>5</v>
      </c>
      <c r="K47" s="21">
        <v>4</v>
      </c>
      <c r="L47" s="21" t="s">
        <v>680</v>
      </c>
      <c r="M47" s="21" t="s">
        <v>100</v>
      </c>
      <c r="N47" s="21" t="s">
        <v>789</v>
      </c>
      <c r="O47" s="21" t="s">
        <v>790</v>
      </c>
      <c r="P47" s="21" t="s">
        <v>684</v>
      </c>
      <c r="Q47" s="21" t="s">
        <v>22</v>
      </c>
      <c r="R47" s="21" t="s">
        <v>685</v>
      </c>
    </row>
    <row r="48" spans="1:18" x14ac:dyDescent="0.25">
      <c r="A48" s="20">
        <v>45705.214787997684</v>
      </c>
      <c r="B48" s="21" t="s">
        <v>727</v>
      </c>
      <c r="C48" s="21" t="s">
        <v>679</v>
      </c>
      <c r="D48" s="21" t="s">
        <v>791</v>
      </c>
      <c r="E48" s="21">
        <v>4</v>
      </c>
      <c r="F48" s="21">
        <v>4</v>
      </c>
      <c r="G48" s="21">
        <v>5</v>
      </c>
      <c r="H48" s="21">
        <v>5</v>
      </c>
      <c r="I48" s="21">
        <v>5</v>
      </c>
      <c r="J48" s="21">
        <v>5</v>
      </c>
      <c r="K48" s="21">
        <v>5</v>
      </c>
      <c r="L48" s="21" t="s">
        <v>680</v>
      </c>
      <c r="M48" s="21" t="s">
        <v>100</v>
      </c>
      <c r="N48" s="21" t="s">
        <v>715</v>
      </c>
      <c r="O48" s="21" t="s">
        <v>693</v>
      </c>
      <c r="P48" s="21" t="s">
        <v>684</v>
      </c>
      <c r="Q48" s="21" t="s">
        <v>22</v>
      </c>
      <c r="R48" s="21" t="s">
        <v>685</v>
      </c>
    </row>
    <row r="49" spans="1:18" x14ac:dyDescent="0.25">
      <c r="A49" s="20">
        <v>45705.217720590277</v>
      </c>
      <c r="B49" s="21" t="s">
        <v>690</v>
      </c>
      <c r="C49" s="21" t="s">
        <v>679</v>
      </c>
      <c r="D49" s="21" t="s">
        <v>792</v>
      </c>
      <c r="E49" s="21">
        <v>5</v>
      </c>
      <c r="F49" s="21">
        <v>5</v>
      </c>
      <c r="G49" s="21">
        <v>5</v>
      </c>
      <c r="H49" s="21">
        <v>5</v>
      </c>
      <c r="I49" s="21">
        <v>5</v>
      </c>
      <c r="J49" s="21">
        <v>5</v>
      </c>
      <c r="K49" s="21">
        <v>5</v>
      </c>
      <c r="L49" s="21" t="s">
        <v>680</v>
      </c>
      <c r="M49" s="21" t="s">
        <v>100</v>
      </c>
      <c r="N49" s="21" t="s">
        <v>693</v>
      </c>
      <c r="O49" s="21" t="s">
        <v>793</v>
      </c>
      <c r="P49" s="21" t="s">
        <v>684</v>
      </c>
      <c r="Q49" s="21" t="s">
        <v>22</v>
      </c>
      <c r="R49" s="21" t="s">
        <v>685</v>
      </c>
    </row>
    <row r="50" spans="1:18" x14ac:dyDescent="0.25">
      <c r="A50" s="20">
        <v>45705.611096307868</v>
      </c>
      <c r="B50" s="21" t="s">
        <v>690</v>
      </c>
      <c r="C50" s="21" t="s">
        <v>679</v>
      </c>
      <c r="D50" s="21" t="s">
        <v>794</v>
      </c>
      <c r="E50" s="21">
        <v>4</v>
      </c>
      <c r="F50" s="21">
        <v>5</v>
      </c>
      <c r="G50" s="21">
        <v>4</v>
      </c>
      <c r="H50" s="21">
        <v>5</v>
      </c>
      <c r="I50" s="21">
        <v>5</v>
      </c>
      <c r="J50" s="21">
        <v>5</v>
      </c>
      <c r="K50" s="21">
        <v>5</v>
      </c>
      <c r="L50" s="21" t="s">
        <v>687</v>
      </c>
      <c r="M50" s="21" t="s">
        <v>100</v>
      </c>
      <c r="N50" s="21" t="s">
        <v>795</v>
      </c>
      <c r="O50" s="21" t="s">
        <v>796</v>
      </c>
      <c r="P50" s="21" t="s">
        <v>684</v>
      </c>
      <c r="Q50" s="21" t="s">
        <v>22</v>
      </c>
      <c r="R50" s="21" t="s">
        <v>685</v>
      </c>
    </row>
    <row r="51" spans="1:18" x14ac:dyDescent="0.25">
      <c r="A51" s="20">
        <v>45706.59778974537</v>
      </c>
      <c r="B51" s="21" t="s">
        <v>727</v>
      </c>
      <c r="C51" s="21" t="s">
        <v>679</v>
      </c>
      <c r="D51" s="21" t="s">
        <v>797</v>
      </c>
      <c r="E51" s="21">
        <v>5</v>
      </c>
      <c r="F51" s="21">
        <v>5</v>
      </c>
      <c r="G51" s="21">
        <v>5</v>
      </c>
      <c r="H51" s="21">
        <v>5</v>
      </c>
      <c r="I51" s="21">
        <v>5</v>
      </c>
      <c r="J51" s="21">
        <v>5</v>
      </c>
      <c r="K51" s="21">
        <v>3</v>
      </c>
      <c r="L51" s="21" t="s">
        <v>680</v>
      </c>
      <c r="M51" s="21" t="s">
        <v>100</v>
      </c>
      <c r="N51" s="21" t="s">
        <v>798</v>
      </c>
      <c r="O51" s="21" t="s">
        <v>799</v>
      </c>
      <c r="P51" s="21" t="s">
        <v>684</v>
      </c>
      <c r="Q51" s="21" t="s">
        <v>31</v>
      </c>
      <c r="R51" s="21" t="s">
        <v>685</v>
      </c>
    </row>
    <row r="52" spans="1:18" x14ac:dyDescent="0.25">
      <c r="A52" s="20">
        <v>45707.986685370372</v>
      </c>
      <c r="B52" s="21" t="s">
        <v>678</v>
      </c>
      <c r="C52" s="21" t="s">
        <v>679</v>
      </c>
      <c r="D52" s="21" t="s">
        <v>800</v>
      </c>
      <c r="E52" s="21">
        <v>5</v>
      </c>
      <c r="F52" s="21">
        <v>5</v>
      </c>
      <c r="G52" s="21">
        <v>5</v>
      </c>
      <c r="H52" s="21">
        <v>5</v>
      </c>
      <c r="I52" s="21">
        <v>5</v>
      </c>
      <c r="J52" s="21">
        <v>5</v>
      </c>
      <c r="K52" s="21">
        <v>5</v>
      </c>
      <c r="L52" s="21" t="s">
        <v>680</v>
      </c>
      <c r="M52" s="21" t="s">
        <v>100</v>
      </c>
      <c r="N52" s="21" t="s">
        <v>801</v>
      </c>
      <c r="O52" s="21" t="s">
        <v>802</v>
      </c>
      <c r="P52" s="21" t="s">
        <v>684</v>
      </c>
      <c r="Q52" s="21" t="s">
        <v>31</v>
      </c>
      <c r="R52" s="21" t="s">
        <v>685</v>
      </c>
    </row>
    <row r="53" spans="1:18" x14ac:dyDescent="0.25">
      <c r="A53" s="20">
        <v>45707.98975508102</v>
      </c>
      <c r="B53" s="21" t="s">
        <v>727</v>
      </c>
      <c r="C53" s="21" t="s">
        <v>679</v>
      </c>
      <c r="D53" s="21" t="s">
        <v>803</v>
      </c>
      <c r="E53" s="21">
        <v>5</v>
      </c>
      <c r="F53" s="21">
        <v>5</v>
      </c>
      <c r="G53" s="21">
        <v>5</v>
      </c>
      <c r="H53" s="21">
        <v>5</v>
      </c>
      <c r="I53" s="21">
        <v>5</v>
      </c>
      <c r="J53" s="21">
        <v>5</v>
      </c>
      <c r="K53" s="21">
        <v>5</v>
      </c>
      <c r="L53" s="21" t="s">
        <v>680</v>
      </c>
      <c r="M53" s="21" t="s">
        <v>100</v>
      </c>
      <c r="N53" s="21" t="s">
        <v>804</v>
      </c>
      <c r="O53" s="21" t="s">
        <v>230</v>
      </c>
      <c r="P53" s="21" t="s">
        <v>684</v>
      </c>
      <c r="Q53" s="21" t="s">
        <v>31</v>
      </c>
      <c r="R53" s="21" t="s">
        <v>685</v>
      </c>
    </row>
    <row r="54" spans="1:18" x14ac:dyDescent="0.25">
      <c r="A54" s="20">
        <v>45708.499543391204</v>
      </c>
      <c r="B54" s="21" t="s">
        <v>805</v>
      </c>
      <c r="C54" s="21" t="s">
        <v>703</v>
      </c>
      <c r="D54" s="21" t="s">
        <v>806</v>
      </c>
      <c r="E54" s="21">
        <v>5</v>
      </c>
      <c r="F54" s="21">
        <v>4</v>
      </c>
      <c r="G54" s="21">
        <v>4</v>
      </c>
      <c r="H54" s="21">
        <v>5</v>
      </c>
      <c r="I54" s="21">
        <v>5</v>
      </c>
      <c r="J54" s="21">
        <v>5</v>
      </c>
      <c r="K54" s="21">
        <v>5</v>
      </c>
      <c r="L54" s="21" t="s">
        <v>680</v>
      </c>
      <c r="M54" s="21" t="s">
        <v>100</v>
      </c>
      <c r="N54" s="21" t="s">
        <v>807</v>
      </c>
      <c r="O54" s="21" t="s">
        <v>230</v>
      </c>
      <c r="P54" s="21" t="s">
        <v>684</v>
      </c>
      <c r="Q54" s="21" t="s">
        <v>22</v>
      </c>
      <c r="R54" s="21" t="s">
        <v>685</v>
      </c>
    </row>
    <row r="55" spans="1:18" x14ac:dyDescent="0.25">
      <c r="A55" s="20">
        <v>45708.505977789348</v>
      </c>
      <c r="B55" s="21" t="s">
        <v>805</v>
      </c>
      <c r="C55" s="21" t="s">
        <v>703</v>
      </c>
      <c r="E55" s="21">
        <v>5</v>
      </c>
      <c r="F55" s="21">
        <v>4</v>
      </c>
      <c r="G55" s="21">
        <v>5</v>
      </c>
      <c r="H55" s="21">
        <v>5</v>
      </c>
      <c r="I55" s="21">
        <v>5</v>
      </c>
      <c r="J55" s="21">
        <v>4</v>
      </c>
      <c r="K55" s="21">
        <v>4</v>
      </c>
      <c r="L55" s="21" t="s">
        <v>680</v>
      </c>
      <c r="M55" s="21" t="s">
        <v>681</v>
      </c>
      <c r="N55" s="21" t="s">
        <v>691</v>
      </c>
      <c r="O55" s="21" t="s">
        <v>707</v>
      </c>
      <c r="P55" s="21" t="s">
        <v>684</v>
      </c>
      <c r="Q55" s="21" t="s">
        <v>22</v>
      </c>
      <c r="R55" s="21" t="s">
        <v>685</v>
      </c>
    </row>
    <row r="56" spans="1:18" x14ac:dyDescent="0.25">
      <c r="A56" s="20">
        <v>45708.572538310182</v>
      </c>
      <c r="B56" s="21" t="s">
        <v>805</v>
      </c>
      <c r="C56" s="21" t="s">
        <v>679</v>
      </c>
      <c r="D56" s="21" t="s">
        <v>808</v>
      </c>
      <c r="E56" s="21">
        <v>5</v>
      </c>
      <c r="F56" s="21">
        <v>5</v>
      </c>
      <c r="G56" s="21">
        <v>5</v>
      </c>
      <c r="H56" s="21">
        <v>5</v>
      </c>
      <c r="I56" s="21">
        <v>5</v>
      </c>
      <c r="J56" s="21">
        <v>5</v>
      </c>
      <c r="K56" s="21">
        <v>5</v>
      </c>
      <c r="L56" s="21" t="s">
        <v>687</v>
      </c>
      <c r="M56" s="21" t="s">
        <v>100</v>
      </c>
      <c r="N56" s="21" t="s">
        <v>809</v>
      </c>
      <c r="O56" s="21" t="s">
        <v>810</v>
      </c>
      <c r="P56" s="21" t="s">
        <v>684</v>
      </c>
      <c r="Q56" s="21" t="s">
        <v>22</v>
      </c>
      <c r="R56" s="21" t="s">
        <v>685</v>
      </c>
    </row>
    <row r="57" spans="1:18" x14ac:dyDescent="0.25">
      <c r="A57" s="20">
        <v>45708.62626527778</v>
      </c>
      <c r="B57" s="21" t="s">
        <v>805</v>
      </c>
      <c r="C57" s="21" t="s">
        <v>679</v>
      </c>
      <c r="D57" s="21" t="s">
        <v>811</v>
      </c>
      <c r="E57" s="21">
        <v>5</v>
      </c>
      <c r="F57" s="21">
        <v>5</v>
      </c>
      <c r="G57" s="21">
        <v>5</v>
      </c>
      <c r="H57" s="21">
        <v>5</v>
      </c>
      <c r="I57" s="21">
        <v>5</v>
      </c>
      <c r="J57" s="21">
        <v>5</v>
      </c>
      <c r="K57" s="21">
        <v>5</v>
      </c>
      <c r="L57" s="21" t="s">
        <v>743</v>
      </c>
      <c r="M57" s="21" t="s">
        <v>100</v>
      </c>
      <c r="N57" s="21" t="s">
        <v>812</v>
      </c>
      <c r="O57" s="21" t="s">
        <v>813</v>
      </c>
      <c r="P57" s="21" t="s">
        <v>684</v>
      </c>
      <c r="Q57" s="21" t="s">
        <v>22</v>
      </c>
      <c r="R57" s="21" t="s">
        <v>685</v>
      </c>
    </row>
    <row r="58" spans="1:18" x14ac:dyDescent="0.25">
      <c r="A58" s="20">
        <v>45709.040304224538</v>
      </c>
      <c r="B58" s="21" t="s">
        <v>805</v>
      </c>
      <c r="C58" s="21" t="s">
        <v>679</v>
      </c>
      <c r="E58" s="21">
        <v>5</v>
      </c>
      <c r="F58" s="21">
        <v>5</v>
      </c>
      <c r="G58" s="21">
        <v>5</v>
      </c>
      <c r="H58" s="21">
        <v>5</v>
      </c>
      <c r="I58" s="21">
        <v>5</v>
      </c>
      <c r="J58" s="21">
        <v>5</v>
      </c>
      <c r="K58" s="21">
        <v>5</v>
      </c>
      <c r="L58" s="21" t="s">
        <v>680</v>
      </c>
      <c r="M58" s="21" t="s">
        <v>681</v>
      </c>
      <c r="N58" s="21" t="s">
        <v>711</v>
      </c>
      <c r="O58" s="21" t="s">
        <v>732</v>
      </c>
      <c r="P58" s="21" t="s">
        <v>684</v>
      </c>
      <c r="Q58" s="21" t="s">
        <v>22</v>
      </c>
      <c r="R58" s="21" t="s">
        <v>685</v>
      </c>
    </row>
    <row r="59" spans="1:18" x14ac:dyDescent="0.25">
      <c r="A59" s="20">
        <v>45709.041006354164</v>
      </c>
      <c r="B59" s="21" t="s">
        <v>805</v>
      </c>
      <c r="C59" s="21" t="s">
        <v>679</v>
      </c>
      <c r="D59" s="21" t="s">
        <v>814</v>
      </c>
      <c r="E59" s="21">
        <v>5</v>
      </c>
      <c r="F59" s="21">
        <v>5</v>
      </c>
      <c r="G59" s="21">
        <v>5</v>
      </c>
      <c r="H59" s="21">
        <v>5</v>
      </c>
      <c r="I59" s="21">
        <v>5</v>
      </c>
      <c r="J59" s="21">
        <v>5</v>
      </c>
      <c r="K59" s="21">
        <v>5</v>
      </c>
      <c r="L59" s="21" t="s">
        <v>680</v>
      </c>
      <c r="M59" s="21" t="s">
        <v>100</v>
      </c>
      <c r="N59" s="21" t="s">
        <v>313</v>
      </c>
      <c r="O59" s="21" t="s">
        <v>815</v>
      </c>
      <c r="P59" s="21" t="s">
        <v>684</v>
      </c>
      <c r="Q59" s="21" t="s">
        <v>22</v>
      </c>
      <c r="R59" s="21" t="s">
        <v>685</v>
      </c>
    </row>
    <row r="60" spans="1:18" x14ac:dyDescent="0.25">
      <c r="A60" s="20">
        <v>45709.041900891199</v>
      </c>
      <c r="B60" s="21" t="s">
        <v>805</v>
      </c>
      <c r="C60" s="21" t="s">
        <v>679</v>
      </c>
      <c r="D60" s="21" t="s">
        <v>816</v>
      </c>
      <c r="E60" s="21">
        <v>5</v>
      </c>
      <c r="F60" s="21">
        <v>5</v>
      </c>
      <c r="G60" s="21">
        <v>5</v>
      </c>
      <c r="H60" s="21">
        <v>5</v>
      </c>
      <c r="I60" s="21">
        <v>5</v>
      </c>
      <c r="J60" s="21">
        <v>5</v>
      </c>
      <c r="K60" s="21">
        <v>5</v>
      </c>
      <c r="L60" s="21" t="s">
        <v>680</v>
      </c>
      <c r="M60" s="21" t="s">
        <v>681</v>
      </c>
      <c r="N60" s="21" t="s">
        <v>817</v>
      </c>
      <c r="O60" s="21" t="s">
        <v>818</v>
      </c>
      <c r="P60" s="21" t="s">
        <v>684</v>
      </c>
      <c r="Q60" s="21" t="s">
        <v>22</v>
      </c>
      <c r="R60" s="21" t="s">
        <v>685</v>
      </c>
    </row>
    <row r="61" spans="1:18" x14ac:dyDescent="0.25">
      <c r="A61" s="20">
        <v>45709.042477407405</v>
      </c>
      <c r="B61" s="21" t="s">
        <v>805</v>
      </c>
      <c r="C61" s="21" t="s">
        <v>679</v>
      </c>
      <c r="D61" s="21" t="s">
        <v>819</v>
      </c>
      <c r="E61" s="21">
        <v>4</v>
      </c>
      <c r="F61" s="21">
        <v>4</v>
      </c>
      <c r="G61" s="21">
        <v>4</v>
      </c>
      <c r="H61" s="21">
        <v>4</v>
      </c>
      <c r="I61" s="21">
        <v>4</v>
      </c>
      <c r="J61" s="21">
        <v>4</v>
      </c>
      <c r="K61" s="21">
        <v>4</v>
      </c>
      <c r="L61" s="21" t="s">
        <v>680</v>
      </c>
      <c r="M61" s="21" t="s">
        <v>681</v>
      </c>
      <c r="N61" s="21" t="s">
        <v>820</v>
      </c>
      <c r="O61" s="21" t="s">
        <v>238</v>
      </c>
      <c r="P61" s="21" t="s">
        <v>684</v>
      </c>
      <c r="Q61" s="21" t="s">
        <v>22</v>
      </c>
      <c r="R61" s="21" t="s">
        <v>685</v>
      </c>
    </row>
    <row r="62" spans="1:18" x14ac:dyDescent="0.25">
      <c r="A62" s="20">
        <v>45709.05103905093</v>
      </c>
      <c r="B62" s="21" t="s">
        <v>805</v>
      </c>
      <c r="C62" s="21" t="s">
        <v>679</v>
      </c>
      <c r="E62" s="21">
        <v>5</v>
      </c>
      <c r="F62" s="21">
        <v>5</v>
      </c>
      <c r="G62" s="21">
        <v>5</v>
      </c>
      <c r="H62" s="21">
        <v>5</v>
      </c>
      <c r="I62" s="21">
        <v>5</v>
      </c>
      <c r="J62" s="21">
        <v>5</v>
      </c>
      <c r="K62" s="21">
        <v>5</v>
      </c>
      <c r="L62" s="21" t="s">
        <v>680</v>
      </c>
      <c r="M62" s="21" t="s">
        <v>100</v>
      </c>
      <c r="N62" s="21" t="s">
        <v>821</v>
      </c>
      <c r="O62" s="21" t="s">
        <v>230</v>
      </c>
      <c r="P62" s="21" t="s">
        <v>684</v>
      </c>
      <c r="Q62" s="21" t="s">
        <v>22</v>
      </c>
      <c r="R62" s="21" t="s">
        <v>685</v>
      </c>
    </row>
    <row r="63" spans="1:18" x14ac:dyDescent="0.25">
      <c r="A63" s="20">
        <v>45709.141644409727</v>
      </c>
      <c r="B63" s="21" t="s">
        <v>805</v>
      </c>
      <c r="C63" s="21" t="s">
        <v>679</v>
      </c>
      <c r="E63" s="21">
        <v>5</v>
      </c>
      <c r="F63" s="21">
        <v>5</v>
      </c>
      <c r="G63" s="21">
        <v>5</v>
      </c>
      <c r="H63" s="21">
        <v>5</v>
      </c>
      <c r="I63" s="21">
        <v>4</v>
      </c>
      <c r="J63" s="21">
        <v>5</v>
      </c>
      <c r="K63" s="21">
        <v>5</v>
      </c>
      <c r="L63" s="21" t="s">
        <v>680</v>
      </c>
      <c r="M63" s="21" t="s">
        <v>681</v>
      </c>
      <c r="N63" s="21" t="s">
        <v>822</v>
      </c>
      <c r="O63" s="21" t="s">
        <v>823</v>
      </c>
      <c r="P63" s="21" t="s">
        <v>684</v>
      </c>
      <c r="Q63" s="21" t="s">
        <v>31</v>
      </c>
      <c r="R63" s="21" t="s">
        <v>685</v>
      </c>
    </row>
    <row r="64" spans="1:18" x14ac:dyDescent="0.25">
      <c r="A64" s="20">
        <v>45709.473821747684</v>
      </c>
      <c r="B64" s="21" t="s">
        <v>805</v>
      </c>
      <c r="C64" s="21" t="s">
        <v>679</v>
      </c>
      <c r="D64" s="21" t="s">
        <v>824</v>
      </c>
      <c r="E64" s="21">
        <v>5</v>
      </c>
      <c r="F64" s="21">
        <v>5</v>
      </c>
      <c r="G64" s="21">
        <v>5</v>
      </c>
      <c r="H64" s="21">
        <v>5</v>
      </c>
      <c r="I64" s="21">
        <v>5</v>
      </c>
      <c r="J64" s="21">
        <v>5</v>
      </c>
      <c r="K64" s="21">
        <v>5</v>
      </c>
      <c r="L64" s="21" t="s">
        <v>687</v>
      </c>
      <c r="M64" s="21" t="s">
        <v>100</v>
      </c>
      <c r="N64" s="21" t="s">
        <v>825</v>
      </c>
      <c r="O64" s="21" t="s">
        <v>689</v>
      </c>
      <c r="P64" s="21" t="s">
        <v>684</v>
      </c>
      <c r="Q64" s="21" t="s">
        <v>22</v>
      </c>
      <c r="R64" s="21" t="s">
        <v>685</v>
      </c>
    </row>
    <row r="65" spans="1:18" x14ac:dyDescent="0.25">
      <c r="A65" s="20">
        <v>45710.025518518523</v>
      </c>
      <c r="B65" s="21" t="s">
        <v>805</v>
      </c>
      <c r="C65" s="21" t="s">
        <v>679</v>
      </c>
      <c r="D65" s="21" t="s">
        <v>826</v>
      </c>
      <c r="E65" s="21">
        <v>4</v>
      </c>
      <c r="F65" s="21">
        <v>5</v>
      </c>
      <c r="G65" s="21">
        <v>5</v>
      </c>
      <c r="H65" s="21">
        <v>5</v>
      </c>
      <c r="I65" s="21">
        <v>5</v>
      </c>
      <c r="J65" s="21">
        <v>5</v>
      </c>
      <c r="K65" s="21">
        <v>5</v>
      </c>
      <c r="L65" s="21" t="s">
        <v>687</v>
      </c>
      <c r="M65" s="21" t="s">
        <v>681</v>
      </c>
      <c r="N65" s="21" t="s">
        <v>827</v>
      </c>
      <c r="O65" s="21" t="s">
        <v>828</v>
      </c>
      <c r="P65" s="21" t="s">
        <v>684</v>
      </c>
      <c r="Q65" s="21" t="s">
        <v>22</v>
      </c>
      <c r="R65" s="21" t="s">
        <v>685</v>
      </c>
    </row>
    <row r="66" spans="1:18" x14ac:dyDescent="0.25">
      <c r="A66" s="20">
        <v>45710.11915431713</v>
      </c>
      <c r="B66" s="21" t="s">
        <v>727</v>
      </c>
      <c r="C66" s="21" t="s">
        <v>679</v>
      </c>
      <c r="D66" s="21" t="s">
        <v>829</v>
      </c>
      <c r="E66" s="21">
        <v>4</v>
      </c>
      <c r="F66" s="21">
        <v>4</v>
      </c>
      <c r="G66" s="21">
        <v>5</v>
      </c>
      <c r="H66" s="21">
        <v>4</v>
      </c>
      <c r="I66" s="21">
        <v>4</v>
      </c>
      <c r="J66" s="21">
        <v>5</v>
      </c>
      <c r="K66" s="21">
        <v>5</v>
      </c>
      <c r="L66" s="21" t="s">
        <v>743</v>
      </c>
      <c r="M66" s="21" t="s">
        <v>681</v>
      </c>
      <c r="N66" s="21" t="s">
        <v>830</v>
      </c>
      <c r="O66" s="21" t="s">
        <v>831</v>
      </c>
      <c r="P66" s="21" t="s">
        <v>19</v>
      </c>
      <c r="Q66" s="21" t="s">
        <v>22</v>
      </c>
      <c r="R66" s="21" t="s">
        <v>685</v>
      </c>
    </row>
    <row r="67" spans="1:18" x14ac:dyDescent="0.25">
      <c r="A67" s="20">
        <v>45710.17874023148</v>
      </c>
      <c r="B67" s="21" t="s">
        <v>727</v>
      </c>
      <c r="C67" s="21" t="s">
        <v>679</v>
      </c>
      <c r="D67" s="21" t="s">
        <v>832</v>
      </c>
      <c r="E67" s="21">
        <v>5</v>
      </c>
      <c r="F67" s="21">
        <v>5</v>
      </c>
      <c r="G67" s="21">
        <v>5</v>
      </c>
      <c r="H67" s="21">
        <v>5</v>
      </c>
      <c r="I67" s="21">
        <v>5</v>
      </c>
      <c r="J67" s="21">
        <v>5</v>
      </c>
      <c r="K67" s="21">
        <v>5</v>
      </c>
      <c r="L67" s="21" t="s">
        <v>680</v>
      </c>
      <c r="M67" s="21" t="s">
        <v>100</v>
      </c>
      <c r="N67" s="21" t="s">
        <v>833</v>
      </c>
      <c r="O67" s="21" t="s">
        <v>834</v>
      </c>
      <c r="P67" s="21" t="s">
        <v>19</v>
      </c>
      <c r="Q67" s="21" t="s">
        <v>31</v>
      </c>
      <c r="R67" s="21" t="s">
        <v>685</v>
      </c>
    </row>
    <row r="68" spans="1:18" x14ac:dyDescent="0.25">
      <c r="A68" s="20">
        <v>45710.17967484954</v>
      </c>
      <c r="B68" s="21" t="s">
        <v>727</v>
      </c>
      <c r="C68" s="21" t="s">
        <v>679</v>
      </c>
      <c r="D68" s="21" t="s">
        <v>835</v>
      </c>
      <c r="E68" s="21">
        <v>5</v>
      </c>
      <c r="F68" s="21">
        <v>5</v>
      </c>
      <c r="G68" s="21">
        <v>5</v>
      </c>
      <c r="H68" s="21">
        <v>5</v>
      </c>
      <c r="I68" s="21">
        <v>5</v>
      </c>
      <c r="J68" s="21">
        <v>5</v>
      </c>
      <c r="K68" s="21">
        <v>5</v>
      </c>
      <c r="L68" s="21" t="s">
        <v>680</v>
      </c>
      <c r="M68" s="21" t="s">
        <v>100</v>
      </c>
      <c r="N68" s="21" t="s">
        <v>836</v>
      </c>
      <c r="O68" s="21" t="s">
        <v>230</v>
      </c>
      <c r="P68" s="21" t="s">
        <v>19</v>
      </c>
      <c r="Q68" s="21" t="s">
        <v>22</v>
      </c>
      <c r="R68" s="21" t="s">
        <v>685</v>
      </c>
    </row>
    <row r="69" spans="1:18" x14ac:dyDescent="0.25">
      <c r="A69" s="20">
        <v>45710.192812280089</v>
      </c>
      <c r="B69" s="21" t="s">
        <v>727</v>
      </c>
      <c r="C69" s="21" t="s">
        <v>679</v>
      </c>
      <c r="D69" s="21" t="s">
        <v>837</v>
      </c>
      <c r="E69" s="21">
        <v>5</v>
      </c>
      <c r="F69" s="21">
        <v>5</v>
      </c>
      <c r="G69" s="21">
        <v>5</v>
      </c>
      <c r="H69" s="21">
        <v>5</v>
      </c>
      <c r="I69" s="21">
        <v>4</v>
      </c>
      <c r="J69" s="21">
        <v>4</v>
      </c>
      <c r="K69" s="21">
        <v>5</v>
      </c>
      <c r="L69" s="21" t="s">
        <v>680</v>
      </c>
      <c r="M69" s="21" t="s">
        <v>100</v>
      </c>
      <c r="N69" s="21" t="s">
        <v>838</v>
      </c>
      <c r="O69" s="21" t="s">
        <v>839</v>
      </c>
      <c r="P69" s="21" t="s">
        <v>19</v>
      </c>
      <c r="Q69" s="21" t="s">
        <v>31</v>
      </c>
      <c r="R69" s="21" t="s">
        <v>685</v>
      </c>
    </row>
    <row r="70" spans="1:18" x14ac:dyDescent="0.25">
      <c r="A70" s="20">
        <v>45710.214588402778</v>
      </c>
      <c r="B70" s="21" t="s">
        <v>727</v>
      </c>
      <c r="C70" s="21" t="s">
        <v>679</v>
      </c>
      <c r="D70" s="21" t="s">
        <v>840</v>
      </c>
      <c r="E70" s="21">
        <v>5</v>
      </c>
      <c r="F70" s="21">
        <v>5</v>
      </c>
      <c r="G70" s="21">
        <v>5</v>
      </c>
      <c r="H70" s="21">
        <v>5</v>
      </c>
      <c r="I70" s="21">
        <v>5</v>
      </c>
      <c r="J70" s="21">
        <v>5</v>
      </c>
      <c r="K70" s="21">
        <v>5</v>
      </c>
      <c r="L70" s="21" t="s">
        <v>680</v>
      </c>
      <c r="M70" s="21" t="s">
        <v>100</v>
      </c>
      <c r="N70" s="21" t="s">
        <v>841</v>
      </c>
      <c r="O70" s="21" t="s">
        <v>842</v>
      </c>
      <c r="P70" s="21" t="s">
        <v>19</v>
      </c>
      <c r="Q70" s="21" t="s">
        <v>22</v>
      </c>
      <c r="R70" s="21" t="s">
        <v>685</v>
      </c>
    </row>
    <row r="71" spans="1:18" x14ac:dyDescent="0.25">
      <c r="A71" s="20">
        <v>45710.223420347218</v>
      </c>
      <c r="B71" s="21" t="s">
        <v>727</v>
      </c>
      <c r="C71" s="21" t="s">
        <v>679</v>
      </c>
      <c r="D71" s="21" t="s">
        <v>843</v>
      </c>
      <c r="E71" s="21">
        <v>5</v>
      </c>
      <c r="F71" s="21">
        <v>4</v>
      </c>
      <c r="G71" s="21">
        <v>4</v>
      </c>
      <c r="H71" s="21">
        <v>4</v>
      </c>
      <c r="I71" s="21">
        <v>3</v>
      </c>
      <c r="J71" s="21">
        <v>4</v>
      </c>
      <c r="K71" s="21">
        <v>5</v>
      </c>
      <c r="L71" s="21" t="s">
        <v>687</v>
      </c>
      <c r="M71" s="21" t="s">
        <v>16</v>
      </c>
      <c r="N71" s="21" t="s">
        <v>844</v>
      </c>
      <c r="O71" s="21" t="s">
        <v>845</v>
      </c>
      <c r="P71" s="21" t="s">
        <v>19</v>
      </c>
      <c r="Q71" s="21" t="s">
        <v>22</v>
      </c>
      <c r="R71" s="21" t="s">
        <v>685</v>
      </c>
    </row>
    <row r="72" spans="1:18" x14ac:dyDescent="0.25">
      <c r="A72" s="20">
        <v>45710.297826388887</v>
      </c>
      <c r="B72" s="21" t="s">
        <v>727</v>
      </c>
      <c r="C72" s="21" t="s">
        <v>679</v>
      </c>
      <c r="D72" s="21" t="s">
        <v>846</v>
      </c>
      <c r="E72" s="21">
        <v>1</v>
      </c>
      <c r="F72" s="21">
        <v>1</v>
      </c>
      <c r="G72" s="21">
        <v>1</v>
      </c>
      <c r="H72" s="21">
        <v>1</v>
      </c>
      <c r="I72" s="21">
        <v>1</v>
      </c>
      <c r="J72" s="21">
        <v>1</v>
      </c>
      <c r="K72" s="21">
        <v>1</v>
      </c>
      <c r="L72" s="21" t="s">
        <v>680</v>
      </c>
      <c r="M72" s="21" t="s">
        <v>100</v>
      </c>
      <c r="N72" s="21" t="s">
        <v>847</v>
      </c>
      <c r="O72" s="21" t="s">
        <v>848</v>
      </c>
      <c r="P72" s="21" t="s">
        <v>19</v>
      </c>
      <c r="Q72" s="21" t="s">
        <v>22</v>
      </c>
      <c r="R72" s="21" t="s">
        <v>685</v>
      </c>
    </row>
    <row r="73" spans="1:18" x14ac:dyDescent="0.25">
      <c r="A73" s="20">
        <v>45710.332187384258</v>
      </c>
      <c r="B73" s="21" t="s">
        <v>849</v>
      </c>
      <c r="C73" s="21" t="s">
        <v>679</v>
      </c>
      <c r="D73" s="21" t="s">
        <v>850</v>
      </c>
      <c r="E73" s="21">
        <v>5</v>
      </c>
      <c r="F73" s="21">
        <v>5</v>
      </c>
      <c r="G73" s="21">
        <v>5</v>
      </c>
      <c r="H73" s="21">
        <v>5</v>
      </c>
      <c r="I73" s="21">
        <v>5</v>
      </c>
      <c r="J73" s="21">
        <v>5</v>
      </c>
      <c r="K73" s="21">
        <v>5</v>
      </c>
      <c r="L73" s="21" t="s">
        <v>680</v>
      </c>
      <c r="M73" s="21" t="s">
        <v>100</v>
      </c>
      <c r="N73" s="21" t="s">
        <v>851</v>
      </c>
      <c r="O73" s="21" t="s">
        <v>852</v>
      </c>
      <c r="P73" s="21" t="s">
        <v>684</v>
      </c>
      <c r="Q73" s="21" t="s">
        <v>22</v>
      </c>
      <c r="R73" s="21" t="s">
        <v>685</v>
      </c>
    </row>
    <row r="74" spans="1:18" x14ac:dyDescent="0.25">
      <c r="A74" s="20">
        <v>45710.337383761573</v>
      </c>
      <c r="B74" s="21" t="s">
        <v>849</v>
      </c>
      <c r="C74" s="21" t="s">
        <v>679</v>
      </c>
      <c r="E74" s="21">
        <v>5</v>
      </c>
      <c r="F74" s="21">
        <v>5</v>
      </c>
      <c r="G74" s="21">
        <v>5</v>
      </c>
      <c r="H74" s="21">
        <v>5</v>
      </c>
      <c r="I74" s="21">
        <v>5</v>
      </c>
      <c r="J74" s="21">
        <v>5</v>
      </c>
      <c r="K74" s="21">
        <v>5</v>
      </c>
      <c r="L74" s="21" t="s">
        <v>680</v>
      </c>
      <c r="M74" s="21" t="s">
        <v>100</v>
      </c>
      <c r="N74" s="21" t="s">
        <v>711</v>
      </c>
      <c r="O74" s="21" t="s">
        <v>712</v>
      </c>
      <c r="P74" s="21" t="s">
        <v>684</v>
      </c>
      <c r="Q74" s="21" t="s">
        <v>22</v>
      </c>
      <c r="R74" s="21" t="s">
        <v>685</v>
      </c>
    </row>
    <row r="75" spans="1:18" x14ac:dyDescent="0.25">
      <c r="A75" s="20">
        <v>45710.353590370374</v>
      </c>
      <c r="B75" s="21" t="s">
        <v>849</v>
      </c>
      <c r="C75" s="21" t="s">
        <v>679</v>
      </c>
      <c r="D75" s="21" t="s">
        <v>853</v>
      </c>
      <c r="E75" s="21">
        <v>5</v>
      </c>
      <c r="F75" s="21">
        <v>5</v>
      </c>
      <c r="G75" s="21">
        <v>5</v>
      </c>
      <c r="H75" s="21">
        <v>5</v>
      </c>
      <c r="I75" s="21">
        <v>5</v>
      </c>
      <c r="J75" s="21">
        <v>5</v>
      </c>
      <c r="K75" s="21">
        <v>5</v>
      </c>
      <c r="L75" s="21" t="s">
        <v>687</v>
      </c>
      <c r="M75" s="21" t="s">
        <v>100</v>
      </c>
      <c r="N75" s="21" t="s">
        <v>854</v>
      </c>
      <c r="O75" s="21" t="s">
        <v>855</v>
      </c>
      <c r="P75" s="21" t="s">
        <v>684</v>
      </c>
      <c r="Q75" s="21" t="s">
        <v>22</v>
      </c>
      <c r="R75" s="21" t="s">
        <v>685</v>
      </c>
    </row>
    <row r="76" spans="1:18" x14ac:dyDescent="0.25">
      <c r="A76" s="20">
        <v>45710.355602256939</v>
      </c>
      <c r="B76" s="21" t="s">
        <v>849</v>
      </c>
      <c r="C76" s="21" t="s">
        <v>679</v>
      </c>
      <c r="E76" s="21">
        <v>5</v>
      </c>
      <c r="F76" s="21">
        <v>5</v>
      </c>
      <c r="G76" s="21">
        <v>5</v>
      </c>
      <c r="H76" s="21">
        <v>5</v>
      </c>
      <c r="I76" s="21">
        <v>5</v>
      </c>
      <c r="J76" s="21">
        <v>5</v>
      </c>
      <c r="K76" s="21">
        <v>5</v>
      </c>
      <c r="L76" s="21" t="s">
        <v>687</v>
      </c>
      <c r="M76" s="21" t="s">
        <v>100</v>
      </c>
      <c r="N76" s="21" t="s">
        <v>753</v>
      </c>
      <c r="O76" s="21" t="s">
        <v>356</v>
      </c>
      <c r="P76" s="21" t="s">
        <v>684</v>
      </c>
      <c r="Q76" s="21" t="s">
        <v>22</v>
      </c>
      <c r="R76" s="21" t="s">
        <v>685</v>
      </c>
    </row>
    <row r="77" spans="1:18" x14ac:dyDescent="0.25">
      <c r="A77" s="20">
        <v>45710.360438043979</v>
      </c>
      <c r="B77" s="21" t="s">
        <v>727</v>
      </c>
      <c r="C77" s="21" t="s">
        <v>679</v>
      </c>
      <c r="D77" s="21" t="s">
        <v>856</v>
      </c>
      <c r="E77" s="21">
        <v>5</v>
      </c>
      <c r="F77" s="21">
        <v>5</v>
      </c>
      <c r="G77" s="21">
        <v>5</v>
      </c>
      <c r="H77" s="21">
        <v>5</v>
      </c>
      <c r="I77" s="21">
        <v>5</v>
      </c>
      <c r="J77" s="21">
        <v>5</v>
      </c>
      <c r="K77" s="21">
        <v>5</v>
      </c>
      <c r="L77" s="21" t="s">
        <v>680</v>
      </c>
      <c r="M77" s="21" t="s">
        <v>100</v>
      </c>
      <c r="N77" s="21" t="s">
        <v>857</v>
      </c>
      <c r="O77" s="21" t="s">
        <v>858</v>
      </c>
      <c r="P77" s="21" t="s">
        <v>19</v>
      </c>
      <c r="Q77" s="21" t="s">
        <v>31</v>
      </c>
      <c r="R77" s="21" t="s">
        <v>685</v>
      </c>
    </row>
    <row r="78" spans="1:18" x14ac:dyDescent="0.25">
      <c r="A78" s="20">
        <v>45710.365363715275</v>
      </c>
      <c r="B78" s="21" t="s">
        <v>727</v>
      </c>
      <c r="C78" s="21" t="s">
        <v>679</v>
      </c>
      <c r="D78" s="21" t="s">
        <v>859</v>
      </c>
      <c r="E78" s="21">
        <v>5</v>
      </c>
      <c r="F78" s="21">
        <v>5</v>
      </c>
      <c r="G78" s="21">
        <v>5</v>
      </c>
      <c r="H78" s="21">
        <v>5</v>
      </c>
      <c r="I78" s="21">
        <v>5</v>
      </c>
      <c r="J78" s="21">
        <v>5</v>
      </c>
      <c r="K78" s="21">
        <v>5</v>
      </c>
      <c r="L78" s="21" t="s">
        <v>687</v>
      </c>
      <c r="M78" s="21" t="s">
        <v>100</v>
      </c>
      <c r="N78" s="21" t="s">
        <v>860</v>
      </c>
      <c r="O78" s="21" t="s">
        <v>861</v>
      </c>
      <c r="P78" s="21" t="s">
        <v>19</v>
      </c>
      <c r="Q78" s="21" t="s">
        <v>31</v>
      </c>
      <c r="R78" s="21" t="s">
        <v>685</v>
      </c>
    </row>
    <row r="79" spans="1:18" x14ac:dyDescent="0.25">
      <c r="A79" s="20">
        <v>45710.490119803246</v>
      </c>
      <c r="B79" s="21" t="s">
        <v>849</v>
      </c>
      <c r="C79" s="21" t="s">
        <v>679</v>
      </c>
      <c r="D79" s="21" t="s">
        <v>862</v>
      </c>
      <c r="E79" s="21">
        <v>5</v>
      </c>
      <c r="F79" s="21">
        <v>5</v>
      </c>
      <c r="G79" s="21">
        <v>5</v>
      </c>
      <c r="H79" s="21">
        <v>5</v>
      </c>
      <c r="I79" s="21">
        <v>5</v>
      </c>
      <c r="J79" s="21">
        <v>5</v>
      </c>
      <c r="K79" s="21">
        <v>5</v>
      </c>
      <c r="L79" s="21" t="s">
        <v>687</v>
      </c>
      <c r="M79" s="21" t="s">
        <v>100</v>
      </c>
      <c r="N79" s="21" t="s">
        <v>863</v>
      </c>
      <c r="O79" s="21" t="s">
        <v>689</v>
      </c>
      <c r="P79" s="21" t="s">
        <v>684</v>
      </c>
      <c r="Q79" s="21" t="s">
        <v>22</v>
      </c>
      <c r="R79" s="21" t="s">
        <v>685</v>
      </c>
    </row>
    <row r="80" spans="1:18" x14ac:dyDescent="0.25">
      <c r="A80" s="20">
        <v>45710.995875173612</v>
      </c>
      <c r="B80" s="21" t="s">
        <v>727</v>
      </c>
      <c r="C80" s="21" t="s">
        <v>679</v>
      </c>
      <c r="D80" s="21" t="s">
        <v>864</v>
      </c>
      <c r="E80" s="21">
        <v>5</v>
      </c>
      <c r="F80" s="21">
        <v>4</v>
      </c>
      <c r="G80" s="21">
        <v>4</v>
      </c>
      <c r="H80" s="21">
        <v>4</v>
      </c>
      <c r="I80" s="21">
        <v>5</v>
      </c>
      <c r="J80" s="21">
        <v>5</v>
      </c>
      <c r="K80" s="21">
        <v>5</v>
      </c>
      <c r="L80" s="21" t="s">
        <v>687</v>
      </c>
      <c r="M80" s="21" t="s">
        <v>100</v>
      </c>
      <c r="N80" s="21" t="s">
        <v>865</v>
      </c>
      <c r="O80" s="21" t="s">
        <v>790</v>
      </c>
      <c r="P80" s="21" t="s">
        <v>19</v>
      </c>
      <c r="Q80" s="21" t="s">
        <v>22</v>
      </c>
      <c r="R80" s="21" t="s">
        <v>685</v>
      </c>
    </row>
    <row r="81" spans="1:18" x14ac:dyDescent="0.25">
      <c r="A81" s="20">
        <v>45711.045259340273</v>
      </c>
      <c r="B81" s="21" t="s">
        <v>727</v>
      </c>
      <c r="C81" s="21" t="s">
        <v>679</v>
      </c>
      <c r="D81" s="21" t="s">
        <v>866</v>
      </c>
      <c r="E81" s="21">
        <v>5</v>
      </c>
      <c r="F81" s="21">
        <v>5</v>
      </c>
      <c r="G81" s="21">
        <v>5</v>
      </c>
      <c r="H81" s="21">
        <v>5</v>
      </c>
      <c r="I81" s="21">
        <v>5</v>
      </c>
      <c r="J81" s="21">
        <v>5</v>
      </c>
      <c r="K81" s="21">
        <v>5</v>
      </c>
      <c r="L81" s="21" t="s">
        <v>687</v>
      </c>
      <c r="M81" s="21" t="s">
        <v>100</v>
      </c>
      <c r="N81" s="21" t="s">
        <v>867</v>
      </c>
      <c r="O81" s="21" t="s">
        <v>868</v>
      </c>
      <c r="P81" s="21" t="s">
        <v>19</v>
      </c>
      <c r="Q81" s="21" t="s">
        <v>22</v>
      </c>
      <c r="R81" s="21" t="s">
        <v>685</v>
      </c>
    </row>
    <row r="82" spans="1:18" x14ac:dyDescent="0.25">
      <c r="A82" s="20">
        <v>45711.101945057875</v>
      </c>
      <c r="B82" s="21" t="s">
        <v>849</v>
      </c>
      <c r="C82" s="21" t="s">
        <v>679</v>
      </c>
      <c r="D82" s="21" t="s">
        <v>869</v>
      </c>
      <c r="E82" s="21">
        <v>5</v>
      </c>
      <c r="F82" s="21">
        <v>5</v>
      </c>
      <c r="G82" s="21">
        <v>5</v>
      </c>
      <c r="H82" s="21">
        <v>5</v>
      </c>
      <c r="I82" s="21">
        <v>5</v>
      </c>
      <c r="J82" s="21">
        <v>5</v>
      </c>
      <c r="K82" s="21">
        <v>5</v>
      </c>
      <c r="L82" s="21" t="s">
        <v>680</v>
      </c>
      <c r="M82" s="21" t="s">
        <v>100</v>
      </c>
      <c r="N82" s="21" t="s">
        <v>870</v>
      </c>
      <c r="O82" s="21" t="s">
        <v>871</v>
      </c>
      <c r="P82" s="21" t="s">
        <v>684</v>
      </c>
      <c r="Q82" s="21" t="s">
        <v>22</v>
      </c>
      <c r="R82" s="21" t="s">
        <v>685</v>
      </c>
    </row>
    <row r="83" spans="1:18" x14ac:dyDescent="0.25">
      <c r="A83" s="20">
        <v>45711.104381817131</v>
      </c>
      <c r="B83" s="21" t="s">
        <v>805</v>
      </c>
      <c r="C83" s="21" t="s">
        <v>703</v>
      </c>
      <c r="D83" s="21" t="s">
        <v>872</v>
      </c>
      <c r="E83" s="21">
        <v>4</v>
      </c>
      <c r="F83" s="21">
        <v>4</v>
      </c>
      <c r="G83" s="21">
        <v>5</v>
      </c>
      <c r="H83" s="21">
        <v>4</v>
      </c>
      <c r="I83" s="21">
        <v>4</v>
      </c>
      <c r="J83" s="21">
        <v>4</v>
      </c>
      <c r="K83" s="21">
        <v>4</v>
      </c>
      <c r="L83" s="21" t="s">
        <v>680</v>
      </c>
      <c r="M83" s="21" t="s">
        <v>681</v>
      </c>
      <c r="N83" s="21" t="s">
        <v>360</v>
      </c>
      <c r="O83" s="21" t="s">
        <v>873</v>
      </c>
      <c r="P83" s="21" t="s">
        <v>684</v>
      </c>
      <c r="Q83" s="21" t="s">
        <v>22</v>
      </c>
      <c r="R83" s="21" t="s">
        <v>685</v>
      </c>
    </row>
    <row r="84" spans="1:18" x14ac:dyDescent="0.25">
      <c r="A84" s="20">
        <v>45711.210209699071</v>
      </c>
      <c r="B84" s="21" t="s">
        <v>849</v>
      </c>
      <c r="C84" s="21" t="s">
        <v>679</v>
      </c>
      <c r="D84" s="21" t="s">
        <v>874</v>
      </c>
      <c r="E84" s="21">
        <v>5</v>
      </c>
      <c r="F84" s="21">
        <v>4</v>
      </c>
      <c r="G84" s="21">
        <v>4</v>
      </c>
      <c r="H84" s="21">
        <v>4</v>
      </c>
      <c r="I84" s="21">
        <v>4</v>
      </c>
      <c r="J84" s="21">
        <v>4</v>
      </c>
      <c r="K84" s="21">
        <v>5</v>
      </c>
      <c r="L84" s="21" t="s">
        <v>680</v>
      </c>
      <c r="M84" s="21" t="s">
        <v>681</v>
      </c>
      <c r="N84" s="21" t="s">
        <v>875</v>
      </c>
      <c r="O84" s="21" t="s">
        <v>873</v>
      </c>
      <c r="P84" s="21" t="s">
        <v>684</v>
      </c>
      <c r="Q84" s="21" t="s">
        <v>22</v>
      </c>
      <c r="R84" s="21" t="s">
        <v>685</v>
      </c>
    </row>
    <row r="85" spans="1:18" x14ac:dyDescent="0.25">
      <c r="A85" s="20">
        <v>45711.22407005787</v>
      </c>
      <c r="B85" s="21" t="s">
        <v>727</v>
      </c>
      <c r="C85" s="21" t="s">
        <v>679</v>
      </c>
      <c r="D85" s="21" t="s">
        <v>876</v>
      </c>
      <c r="E85" s="21">
        <v>5</v>
      </c>
      <c r="F85" s="21">
        <v>5</v>
      </c>
      <c r="G85" s="21">
        <v>5</v>
      </c>
      <c r="H85" s="21">
        <v>5</v>
      </c>
      <c r="I85" s="21">
        <v>5</v>
      </c>
      <c r="J85" s="21">
        <v>5</v>
      </c>
      <c r="K85" s="21">
        <v>5</v>
      </c>
      <c r="L85" s="21" t="s">
        <v>687</v>
      </c>
      <c r="M85" s="21" t="s">
        <v>100</v>
      </c>
      <c r="N85" s="21" t="s">
        <v>877</v>
      </c>
      <c r="O85" s="21" t="s">
        <v>878</v>
      </c>
      <c r="P85" s="21" t="s">
        <v>19</v>
      </c>
      <c r="Q85" s="21" t="s">
        <v>22</v>
      </c>
      <c r="R85" s="21" t="s">
        <v>685</v>
      </c>
    </row>
    <row r="86" spans="1:18" x14ac:dyDescent="0.25">
      <c r="A86" s="20">
        <v>45711.451002812501</v>
      </c>
      <c r="B86" s="21" t="s">
        <v>849</v>
      </c>
      <c r="C86" s="21" t="s">
        <v>679</v>
      </c>
      <c r="E86" s="21">
        <v>5</v>
      </c>
      <c r="F86" s="21">
        <v>5</v>
      </c>
      <c r="G86" s="21">
        <v>5</v>
      </c>
      <c r="H86" s="21">
        <v>5</v>
      </c>
      <c r="I86" s="21">
        <v>5</v>
      </c>
      <c r="J86" s="21">
        <v>5</v>
      </c>
      <c r="K86" s="21">
        <v>5</v>
      </c>
      <c r="L86" s="21" t="s">
        <v>680</v>
      </c>
      <c r="M86" s="21" t="s">
        <v>100</v>
      </c>
      <c r="N86" s="21" t="s">
        <v>879</v>
      </c>
      <c r="O86" s="21" t="s">
        <v>880</v>
      </c>
      <c r="P86" s="21" t="s">
        <v>684</v>
      </c>
      <c r="Q86" s="21" t="s">
        <v>22</v>
      </c>
      <c r="R86" s="21" t="s">
        <v>685</v>
      </c>
    </row>
    <row r="87" spans="1:18" x14ac:dyDescent="0.25">
      <c r="A87" s="20">
        <v>45712.01135774306</v>
      </c>
      <c r="B87" s="21" t="s">
        <v>690</v>
      </c>
      <c r="C87" s="21" t="s">
        <v>703</v>
      </c>
      <c r="D87" s="21" t="s">
        <v>881</v>
      </c>
      <c r="E87" s="21">
        <v>4</v>
      </c>
      <c r="F87" s="21">
        <v>4</v>
      </c>
      <c r="G87" s="21">
        <v>5</v>
      </c>
      <c r="H87" s="21">
        <v>5</v>
      </c>
      <c r="I87" s="21">
        <v>4</v>
      </c>
      <c r="J87" s="21">
        <v>5</v>
      </c>
      <c r="K87" s="21">
        <v>5</v>
      </c>
      <c r="L87" s="21" t="s">
        <v>680</v>
      </c>
      <c r="M87" s="21" t="s">
        <v>681</v>
      </c>
      <c r="N87" s="21" t="s">
        <v>882</v>
      </c>
      <c r="O87" s="21" t="s">
        <v>883</v>
      </c>
      <c r="P87" s="21" t="s">
        <v>684</v>
      </c>
      <c r="Q87" s="21" t="s">
        <v>22</v>
      </c>
      <c r="R87" s="21" t="s">
        <v>685</v>
      </c>
    </row>
    <row r="88" spans="1:18" x14ac:dyDescent="0.25">
      <c r="A88" s="20">
        <v>45712.018411412035</v>
      </c>
      <c r="B88" s="21" t="s">
        <v>727</v>
      </c>
      <c r="C88" s="21" t="s">
        <v>703</v>
      </c>
      <c r="D88" s="21" t="s">
        <v>884</v>
      </c>
      <c r="E88" s="21">
        <v>4</v>
      </c>
      <c r="F88" s="21">
        <v>4</v>
      </c>
      <c r="G88" s="21">
        <v>5</v>
      </c>
      <c r="H88" s="21">
        <v>5</v>
      </c>
      <c r="I88" s="21">
        <v>5</v>
      </c>
      <c r="J88" s="21">
        <v>4</v>
      </c>
      <c r="K88" s="21">
        <v>5</v>
      </c>
      <c r="L88" s="21" t="s">
        <v>680</v>
      </c>
      <c r="M88" s="21" t="s">
        <v>681</v>
      </c>
      <c r="N88" s="21" t="s">
        <v>885</v>
      </c>
      <c r="O88" s="21" t="s">
        <v>886</v>
      </c>
      <c r="P88" s="21" t="s">
        <v>684</v>
      </c>
      <c r="Q88" s="21" t="s">
        <v>22</v>
      </c>
      <c r="R88" s="21" t="s">
        <v>685</v>
      </c>
    </row>
    <row r="89" spans="1:18" x14ac:dyDescent="0.25">
      <c r="A89" s="20">
        <v>45712.094710567129</v>
      </c>
      <c r="B89" s="21" t="s">
        <v>805</v>
      </c>
      <c r="C89" s="21" t="s">
        <v>703</v>
      </c>
      <c r="D89" s="21" t="s">
        <v>887</v>
      </c>
      <c r="E89" s="21">
        <v>4</v>
      </c>
      <c r="F89" s="21">
        <v>5</v>
      </c>
      <c r="G89" s="21">
        <v>5</v>
      </c>
      <c r="H89" s="21">
        <v>5</v>
      </c>
      <c r="I89" s="21">
        <v>5</v>
      </c>
      <c r="J89" s="21">
        <v>4</v>
      </c>
      <c r="K89" s="21">
        <v>5</v>
      </c>
      <c r="L89" s="21" t="s">
        <v>680</v>
      </c>
      <c r="M89" s="21" t="s">
        <v>681</v>
      </c>
      <c r="N89" s="21" t="s">
        <v>888</v>
      </c>
      <c r="O89" s="21" t="s">
        <v>889</v>
      </c>
      <c r="P89" s="21" t="s">
        <v>684</v>
      </c>
      <c r="Q89" s="21" t="s">
        <v>22</v>
      </c>
      <c r="R89" s="21" t="s">
        <v>685</v>
      </c>
    </row>
    <row r="90" spans="1:18" x14ac:dyDescent="0.25">
      <c r="A90" s="20">
        <v>45712.112976400458</v>
      </c>
      <c r="B90" s="21" t="s">
        <v>849</v>
      </c>
      <c r="C90" s="21" t="s">
        <v>703</v>
      </c>
      <c r="D90" s="21" t="s">
        <v>890</v>
      </c>
      <c r="E90" s="21">
        <v>4</v>
      </c>
      <c r="F90" s="21">
        <v>5</v>
      </c>
      <c r="G90" s="21">
        <v>5</v>
      </c>
      <c r="H90" s="21">
        <v>5</v>
      </c>
      <c r="I90" s="21">
        <v>5</v>
      </c>
      <c r="J90" s="21">
        <v>4</v>
      </c>
      <c r="K90" s="21">
        <v>5</v>
      </c>
      <c r="L90" s="21" t="s">
        <v>680</v>
      </c>
      <c r="M90" s="21" t="s">
        <v>681</v>
      </c>
      <c r="N90" s="21" t="s">
        <v>891</v>
      </c>
      <c r="O90" s="21" t="s">
        <v>892</v>
      </c>
      <c r="P90" s="21" t="s">
        <v>684</v>
      </c>
      <c r="Q90" s="21" t="s">
        <v>22</v>
      </c>
      <c r="R90" s="21" t="s">
        <v>685</v>
      </c>
    </row>
    <row r="91" spans="1:18" x14ac:dyDescent="0.25">
      <c r="A91" s="20">
        <v>45712.213438298611</v>
      </c>
      <c r="B91" s="21" t="s">
        <v>727</v>
      </c>
      <c r="C91" s="21" t="s">
        <v>679</v>
      </c>
      <c r="D91" s="21" t="s">
        <v>893</v>
      </c>
      <c r="E91" s="21">
        <v>5</v>
      </c>
      <c r="F91" s="21">
        <v>5</v>
      </c>
      <c r="G91" s="21">
        <v>5</v>
      </c>
      <c r="H91" s="21">
        <v>5</v>
      </c>
      <c r="I91" s="21">
        <v>5</v>
      </c>
      <c r="J91" s="21">
        <v>4</v>
      </c>
      <c r="K91" s="21">
        <v>5</v>
      </c>
      <c r="L91" s="21" t="s">
        <v>680</v>
      </c>
      <c r="M91" s="21" t="s">
        <v>100</v>
      </c>
      <c r="N91" s="21" t="s">
        <v>894</v>
      </c>
      <c r="O91" s="21" t="s">
        <v>895</v>
      </c>
      <c r="P91" s="21" t="s">
        <v>19</v>
      </c>
      <c r="Q91" s="21" t="s">
        <v>22</v>
      </c>
      <c r="R91" s="21" t="s">
        <v>685</v>
      </c>
    </row>
    <row r="92" spans="1:18" x14ac:dyDescent="0.25">
      <c r="A92" s="20">
        <v>45712.318496921296</v>
      </c>
      <c r="B92" s="21" t="s">
        <v>805</v>
      </c>
      <c r="C92" s="21" t="s">
        <v>679</v>
      </c>
      <c r="D92" s="21" t="s">
        <v>896</v>
      </c>
      <c r="E92" s="21">
        <v>2</v>
      </c>
      <c r="F92" s="21">
        <v>5</v>
      </c>
      <c r="G92" s="21">
        <v>4</v>
      </c>
      <c r="H92" s="21">
        <v>4</v>
      </c>
      <c r="I92" s="21">
        <v>5</v>
      </c>
      <c r="J92" s="21">
        <v>4</v>
      </c>
      <c r="K92" s="21">
        <v>5</v>
      </c>
      <c r="L92" s="21" t="s">
        <v>680</v>
      </c>
      <c r="M92" s="21" t="s">
        <v>100</v>
      </c>
      <c r="N92" s="21" t="s">
        <v>897</v>
      </c>
      <c r="O92" s="21" t="s">
        <v>802</v>
      </c>
      <c r="P92" s="21" t="s">
        <v>684</v>
      </c>
      <c r="Q92" s="21" t="s">
        <v>31</v>
      </c>
      <c r="R92" s="21" t="s">
        <v>685</v>
      </c>
    </row>
    <row r="93" spans="1:18" x14ac:dyDescent="0.25">
      <c r="A93" s="20">
        <v>45712.321203993051</v>
      </c>
      <c r="B93" s="21" t="s">
        <v>849</v>
      </c>
      <c r="C93" s="21" t="s">
        <v>679</v>
      </c>
      <c r="D93" s="21" t="s">
        <v>898</v>
      </c>
      <c r="E93" s="21">
        <v>5</v>
      </c>
      <c r="F93" s="21">
        <v>5</v>
      </c>
      <c r="G93" s="21">
        <v>4</v>
      </c>
      <c r="H93" s="21">
        <v>5</v>
      </c>
      <c r="I93" s="21">
        <v>5</v>
      </c>
      <c r="J93" s="21">
        <v>4</v>
      </c>
      <c r="K93" s="21">
        <v>5</v>
      </c>
      <c r="L93" s="21" t="s">
        <v>680</v>
      </c>
      <c r="M93" s="21" t="s">
        <v>100</v>
      </c>
      <c r="N93" s="21" t="s">
        <v>899</v>
      </c>
      <c r="O93" s="21" t="s">
        <v>900</v>
      </c>
      <c r="P93" s="21" t="s">
        <v>684</v>
      </c>
      <c r="Q93" s="21" t="s">
        <v>31</v>
      </c>
      <c r="R93" s="21" t="s">
        <v>685</v>
      </c>
    </row>
    <row r="94" spans="1:18" x14ac:dyDescent="0.25">
      <c r="A94" s="20">
        <v>45712.32803123843</v>
      </c>
      <c r="B94" s="21" t="s">
        <v>849</v>
      </c>
      <c r="C94" s="21" t="s">
        <v>679</v>
      </c>
      <c r="E94" s="21">
        <v>5</v>
      </c>
      <c r="F94" s="21">
        <v>5</v>
      </c>
      <c r="G94" s="21">
        <v>5</v>
      </c>
      <c r="H94" s="21">
        <v>5</v>
      </c>
      <c r="I94" s="21">
        <v>5</v>
      </c>
      <c r="J94" s="21">
        <v>5</v>
      </c>
      <c r="K94" s="21">
        <v>5</v>
      </c>
      <c r="L94" s="21" t="s">
        <v>680</v>
      </c>
      <c r="M94" s="21" t="s">
        <v>100</v>
      </c>
      <c r="N94" s="21" t="s">
        <v>901</v>
      </c>
      <c r="O94" s="21" t="s">
        <v>761</v>
      </c>
      <c r="P94" s="21" t="s">
        <v>684</v>
      </c>
      <c r="Q94" s="21" t="s">
        <v>31</v>
      </c>
      <c r="R94" s="21" t="s">
        <v>685</v>
      </c>
    </row>
    <row r="95" spans="1:18" x14ac:dyDescent="0.25">
      <c r="A95" s="20">
        <v>45712.669154965275</v>
      </c>
      <c r="B95" s="21" t="s">
        <v>805</v>
      </c>
      <c r="C95" s="21" t="s">
        <v>679</v>
      </c>
      <c r="D95" s="21" t="s">
        <v>902</v>
      </c>
      <c r="E95" s="21">
        <v>5</v>
      </c>
      <c r="F95" s="21">
        <v>5</v>
      </c>
      <c r="G95" s="21">
        <v>5</v>
      </c>
      <c r="H95" s="21">
        <v>5</v>
      </c>
      <c r="I95" s="21">
        <v>5</v>
      </c>
      <c r="J95" s="21">
        <v>4</v>
      </c>
      <c r="K95" s="21">
        <v>5</v>
      </c>
      <c r="L95" s="21" t="s">
        <v>743</v>
      </c>
      <c r="M95" s="21" t="s">
        <v>100</v>
      </c>
      <c r="N95" s="21" t="s">
        <v>903</v>
      </c>
      <c r="O95" s="21" t="s">
        <v>850</v>
      </c>
      <c r="P95" s="21" t="s">
        <v>684</v>
      </c>
      <c r="Q95" s="21" t="s">
        <v>22</v>
      </c>
      <c r="R95" s="21" t="s">
        <v>685</v>
      </c>
    </row>
    <row r="96" spans="1:18" x14ac:dyDescent="0.25">
      <c r="A96" s="20">
        <v>45712.671240775468</v>
      </c>
      <c r="B96" s="21" t="s">
        <v>849</v>
      </c>
      <c r="C96" s="21" t="s">
        <v>679</v>
      </c>
      <c r="D96" s="21" t="s">
        <v>904</v>
      </c>
      <c r="E96" s="21">
        <v>5</v>
      </c>
      <c r="F96" s="21">
        <v>5</v>
      </c>
      <c r="G96" s="21">
        <v>5</v>
      </c>
      <c r="H96" s="21">
        <v>5</v>
      </c>
      <c r="I96" s="21">
        <v>5</v>
      </c>
      <c r="J96" s="21">
        <v>5</v>
      </c>
      <c r="K96" s="21">
        <v>4</v>
      </c>
      <c r="L96" s="21" t="s">
        <v>680</v>
      </c>
      <c r="M96" s="21" t="s">
        <v>100</v>
      </c>
      <c r="N96" s="21" t="s">
        <v>905</v>
      </c>
      <c r="O96" s="21" t="s">
        <v>850</v>
      </c>
      <c r="P96" s="21" t="s">
        <v>684</v>
      </c>
      <c r="Q96" s="21" t="s">
        <v>22</v>
      </c>
      <c r="R96" s="21" t="s">
        <v>685</v>
      </c>
    </row>
    <row r="97" spans="1:18" x14ac:dyDescent="0.25">
      <c r="A97" s="20">
        <v>45713.315243761579</v>
      </c>
      <c r="B97" s="21" t="s">
        <v>805</v>
      </c>
      <c r="C97" s="21" t="s">
        <v>679</v>
      </c>
      <c r="D97" s="21" t="s">
        <v>906</v>
      </c>
      <c r="E97" s="21">
        <v>4</v>
      </c>
      <c r="F97" s="21">
        <v>4</v>
      </c>
      <c r="G97" s="21">
        <v>4</v>
      </c>
      <c r="H97" s="21">
        <v>4</v>
      </c>
      <c r="I97" s="21">
        <v>4</v>
      </c>
      <c r="J97" s="21">
        <v>4</v>
      </c>
      <c r="K97" s="21">
        <v>4</v>
      </c>
      <c r="L97" s="21" t="s">
        <v>680</v>
      </c>
      <c r="M97" s="21" t="s">
        <v>681</v>
      </c>
      <c r="N97" s="21" t="s">
        <v>907</v>
      </c>
      <c r="O97" s="21" t="s">
        <v>498</v>
      </c>
      <c r="P97" s="21" t="s">
        <v>684</v>
      </c>
      <c r="Q97" s="21" t="s">
        <v>22</v>
      </c>
      <c r="R97" s="21" t="s">
        <v>685</v>
      </c>
    </row>
    <row r="98" spans="1:18" x14ac:dyDescent="0.25">
      <c r="A98" s="20">
        <v>45713.317532604167</v>
      </c>
      <c r="B98" s="21" t="s">
        <v>849</v>
      </c>
      <c r="C98" s="21" t="s">
        <v>679</v>
      </c>
      <c r="D98" s="21" t="s">
        <v>737</v>
      </c>
      <c r="E98" s="21">
        <v>5</v>
      </c>
      <c r="F98" s="21">
        <v>5</v>
      </c>
      <c r="G98" s="21">
        <v>5</v>
      </c>
      <c r="H98" s="21">
        <v>5</v>
      </c>
      <c r="I98" s="21">
        <v>5</v>
      </c>
      <c r="J98" s="21">
        <v>4</v>
      </c>
      <c r="K98" s="21">
        <v>4</v>
      </c>
      <c r="L98" s="21" t="s">
        <v>680</v>
      </c>
      <c r="M98" s="21" t="s">
        <v>681</v>
      </c>
      <c r="N98" s="21" t="s">
        <v>908</v>
      </c>
      <c r="O98" s="21" t="s">
        <v>498</v>
      </c>
      <c r="P98" s="21" t="s">
        <v>684</v>
      </c>
      <c r="Q98" s="21" t="s">
        <v>22</v>
      </c>
      <c r="R98" s="21" t="s">
        <v>685</v>
      </c>
    </row>
    <row r="99" spans="1:18" x14ac:dyDescent="0.25">
      <c r="A99" s="20">
        <v>45713.555769895829</v>
      </c>
      <c r="B99" s="21" t="s">
        <v>805</v>
      </c>
      <c r="C99" s="21" t="s">
        <v>703</v>
      </c>
      <c r="D99" s="21" t="s">
        <v>909</v>
      </c>
      <c r="E99" s="21">
        <v>4</v>
      </c>
      <c r="F99" s="21">
        <v>4</v>
      </c>
      <c r="G99" s="21">
        <v>4</v>
      </c>
      <c r="H99" s="21">
        <v>4</v>
      </c>
      <c r="I99" s="21">
        <v>4</v>
      </c>
      <c r="J99" s="21">
        <v>4</v>
      </c>
      <c r="K99" s="21">
        <v>4</v>
      </c>
      <c r="L99" s="21" t="s">
        <v>680</v>
      </c>
      <c r="M99" s="21" t="s">
        <v>681</v>
      </c>
      <c r="N99" s="21" t="s">
        <v>749</v>
      </c>
      <c r="O99" s="21" t="s">
        <v>750</v>
      </c>
      <c r="P99" s="21" t="s">
        <v>684</v>
      </c>
      <c r="Q99" s="21" t="s">
        <v>22</v>
      </c>
      <c r="R99" s="21" t="s">
        <v>685</v>
      </c>
    </row>
    <row r="100" spans="1:18" x14ac:dyDescent="0.25">
      <c r="A100" s="20">
        <v>45713.560148796299</v>
      </c>
      <c r="B100" s="21" t="s">
        <v>849</v>
      </c>
      <c r="C100" s="21" t="s">
        <v>703</v>
      </c>
      <c r="D100" s="21" t="s">
        <v>910</v>
      </c>
      <c r="E100" s="21">
        <v>4</v>
      </c>
      <c r="F100" s="21">
        <v>4</v>
      </c>
      <c r="G100" s="21">
        <v>4</v>
      </c>
      <c r="H100" s="21">
        <v>4</v>
      </c>
      <c r="I100" s="21">
        <v>4</v>
      </c>
      <c r="J100" s="21">
        <v>4</v>
      </c>
      <c r="K100" s="21">
        <v>4</v>
      </c>
      <c r="L100" s="21" t="s">
        <v>680</v>
      </c>
      <c r="M100" s="21" t="s">
        <v>681</v>
      </c>
      <c r="N100" s="21" t="s">
        <v>911</v>
      </c>
      <c r="O100" s="21" t="s">
        <v>912</v>
      </c>
      <c r="P100" s="21" t="s">
        <v>684</v>
      </c>
      <c r="Q100" s="21" t="s">
        <v>22</v>
      </c>
      <c r="R100" s="21" t="s">
        <v>685</v>
      </c>
    </row>
    <row r="101" spans="1:18" x14ac:dyDescent="0.25">
      <c r="A101" s="20">
        <v>45714.361323865742</v>
      </c>
      <c r="B101" s="21" t="s">
        <v>849</v>
      </c>
      <c r="C101" s="21" t="s">
        <v>679</v>
      </c>
      <c r="D101" s="21" t="s">
        <v>913</v>
      </c>
      <c r="E101" s="21">
        <v>5</v>
      </c>
      <c r="F101" s="21">
        <v>5</v>
      </c>
      <c r="G101" s="21">
        <v>5</v>
      </c>
      <c r="H101" s="21">
        <v>5</v>
      </c>
      <c r="I101" s="21">
        <v>5</v>
      </c>
      <c r="J101" s="21">
        <v>5</v>
      </c>
      <c r="K101" s="21">
        <v>5</v>
      </c>
      <c r="L101" s="21" t="s">
        <v>680</v>
      </c>
      <c r="M101" s="21" t="s">
        <v>681</v>
      </c>
      <c r="N101" s="21" t="s">
        <v>914</v>
      </c>
      <c r="O101" s="21" t="s">
        <v>693</v>
      </c>
      <c r="P101" s="21" t="s">
        <v>684</v>
      </c>
      <c r="Q101" s="21" t="s">
        <v>22</v>
      </c>
      <c r="R101" s="21" t="s">
        <v>685</v>
      </c>
    </row>
    <row r="102" spans="1:18" x14ac:dyDescent="0.25">
      <c r="A102" s="20">
        <v>45715.537152233795</v>
      </c>
      <c r="B102" s="21" t="s">
        <v>678</v>
      </c>
      <c r="C102" s="21" t="s">
        <v>679</v>
      </c>
      <c r="D102" s="21" t="s">
        <v>915</v>
      </c>
      <c r="E102" s="21">
        <v>5</v>
      </c>
      <c r="F102" s="21">
        <v>5</v>
      </c>
      <c r="G102" s="21">
        <v>5</v>
      </c>
      <c r="H102" s="21">
        <v>5</v>
      </c>
      <c r="I102" s="21">
        <v>5</v>
      </c>
      <c r="J102" s="21">
        <v>5</v>
      </c>
      <c r="K102" s="21">
        <v>5</v>
      </c>
      <c r="L102" s="21" t="s">
        <v>680</v>
      </c>
      <c r="M102" s="21" t="s">
        <v>100</v>
      </c>
      <c r="N102" s="21" t="s">
        <v>916</v>
      </c>
      <c r="O102" s="21" t="s">
        <v>391</v>
      </c>
      <c r="P102" s="21" t="s">
        <v>684</v>
      </c>
      <c r="Q102" s="21" t="s">
        <v>31</v>
      </c>
      <c r="R102" s="21" t="s">
        <v>685</v>
      </c>
    </row>
    <row r="103" spans="1:18" x14ac:dyDescent="0.25">
      <c r="A103" s="20">
        <v>45715.538628437498</v>
      </c>
      <c r="B103" s="21" t="s">
        <v>690</v>
      </c>
      <c r="C103" s="21" t="s">
        <v>679</v>
      </c>
      <c r="D103" s="21" t="s">
        <v>917</v>
      </c>
      <c r="E103" s="21">
        <v>5</v>
      </c>
      <c r="F103" s="21">
        <v>5</v>
      </c>
      <c r="G103" s="21">
        <v>5</v>
      </c>
      <c r="H103" s="21">
        <v>5</v>
      </c>
      <c r="I103" s="21">
        <v>5</v>
      </c>
      <c r="J103" s="21">
        <v>5</v>
      </c>
      <c r="K103" s="21">
        <v>5</v>
      </c>
      <c r="L103" s="21" t="s">
        <v>680</v>
      </c>
      <c r="M103" s="21" t="s">
        <v>100</v>
      </c>
      <c r="N103" s="21" t="s">
        <v>918</v>
      </c>
      <c r="O103" s="21" t="s">
        <v>919</v>
      </c>
      <c r="P103" s="21" t="s">
        <v>684</v>
      </c>
      <c r="Q103" s="21" t="s">
        <v>31</v>
      </c>
      <c r="R103" s="21" t="s">
        <v>685</v>
      </c>
    </row>
    <row r="104" spans="1:18" x14ac:dyDescent="0.25">
      <c r="A104" s="20">
        <v>45716.076033171295</v>
      </c>
      <c r="B104" s="21" t="s">
        <v>727</v>
      </c>
      <c r="C104" s="21" t="s">
        <v>679</v>
      </c>
      <c r="E104" s="21">
        <v>4</v>
      </c>
      <c r="F104" s="21">
        <v>4</v>
      </c>
      <c r="G104" s="21">
        <v>5</v>
      </c>
      <c r="H104" s="21">
        <v>4</v>
      </c>
      <c r="I104" s="21">
        <v>4</v>
      </c>
      <c r="J104" s="21">
        <v>4</v>
      </c>
      <c r="K104" s="21">
        <v>5</v>
      </c>
      <c r="L104" s="21" t="s">
        <v>680</v>
      </c>
      <c r="M104" s="21" t="s">
        <v>681</v>
      </c>
      <c r="N104" s="21" t="s">
        <v>920</v>
      </c>
      <c r="O104" s="21" t="s">
        <v>921</v>
      </c>
      <c r="P104" s="21" t="s">
        <v>19</v>
      </c>
      <c r="Q104" s="21" t="s">
        <v>22</v>
      </c>
      <c r="R104" s="21" t="s">
        <v>685</v>
      </c>
    </row>
    <row r="105" spans="1:18" x14ac:dyDescent="0.25">
      <c r="A105" s="20">
        <v>45716.084012766209</v>
      </c>
      <c r="B105" s="21" t="s">
        <v>727</v>
      </c>
      <c r="C105" s="21" t="s">
        <v>679</v>
      </c>
      <c r="D105" s="21" t="s">
        <v>922</v>
      </c>
      <c r="E105" s="21">
        <v>5</v>
      </c>
      <c r="F105" s="21">
        <v>5</v>
      </c>
      <c r="G105" s="21">
        <v>5</v>
      </c>
      <c r="H105" s="21">
        <v>5</v>
      </c>
      <c r="I105" s="21">
        <v>5</v>
      </c>
      <c r="J105" s="21">
        <v>5</v>
      </c>
      <c r="K105" s="21">
        <v>5</v>
      </c>
      <c r="L105" s="21" t="s">
        <v>687</v>
      </c>
      <c r="M105" s="21" t="s">
        <v>100</v>
      </c>
      <c r="N105" s="21" t="s">
        <v>923</v>
      </c>
      <c r="O105" s="21" t="s">
        <v>556</v>
      </c>
      <c r="P105" s="21" t="s">
        <v>19</v>
      </c>
      <c r="Q105" s="21" t="s">
        <v>22</v>
      </c>
      <c r="R105" s="21" t="s">
        <v>685</v>
      </c>
    </row>
    <row r="106" spans="1:18" x14ac:dyDescent="0.25">
      <c r="A106" s="20">
        <v>45716.084715601857</v>
      </c>
      <c r="B106" s="21" t="s">
        <v>727</v>
      </c>
      <c r="C106" s="21" t="s">
        <v>679</v>
      </c>
      <c r="D106" s="21" t="s">
        <v>924</v>
      </c>
      <c r="E106" s="21">
        <v>5</v>
      </c>
      <c r="F106" s="21">
        <v>5</v>
      </c>
      <c r="G106" s="21">
        <v>4</v>
      </c>
      <c r="H106" s="21">
        <v>5</v>
      </c>
      <c r="I106" s="21">
        <v>4</v>
      </c>
      <c r="J106" s="21">
        <v>5</v>
      </c>
      <c r="K106" s="21">
        <v>5</v>
      </c>
      <c r="L106" s="21" t="s">
        <v>680</v>
      </c>
      <c r="M106" s="21" t="s">
        <v>681</v>
      </c>
      <c r="N106" s="21" t="s">
        <v>925</v>
      </c>
      <c r="O106" s="21" t="s">
        <v>926</v>
      </c>
      <c r="P106" s="21" t="s">
        <v>19</v>
      </c>
      <c r="Q106" s="21" t="s">
        <v>22</v>
      </c>
      <c r="R106" s="21" t="s">
        <v>685</v>
      </c>
    </row>
    <row r="107" spans="1:18" x14ac:dyDescent="0.25">
      <c r="A107" s="20">
        <v>45716.100511249999</v>
      </c>
      <c r="B107" s="21" t="s">
        <v>727</v>
      </c>
      <c r="C107" s="21" t="s">
        <v>679</v>
      </c>
      <c r="D107" s="21" t="s">
        <v>927</v>
      </c>
      <c r="E107" s="21">
        <v>5</v>
      </c>
      <c r="F107" s="21">
        <v>5</v>
      </c>
      <c r="G107" s="21">
        <v>5</v>
      </c>
      <c r="H107" s="21">
        <v>5</v>
      </c>
      <c r="I107" s="21">
        <v>5</v>
      </c>
      <c r="J107" s="21">
        <v>5</v>
      </c>
      <c r="K107" s="21">
        <v>5</v>
      </c>
      <c r="L107" s="21" t="s">
        <v>687</v>
      </c>
      <c r="M107" s="21" t="s">
        <v>100</v>
      </c>
      <c r="N107" s="21" t="s">
        <v>928</v>
      </c>
      <c r="O107" s="21" t="s">
        <v>929</v>
      </c>
      <c r="P107" s="21" t="s">
        <v>19</v>
      </c>
      <c r="Q107" s="21" t="s">
        <v>31</v>
      </c>
      <c r="R107" s="21" t="s">
        <v>685</v>
      </c>
    </row>
    <row r="108" spans="1:18" x14ac:dyDescent="0.25">
      <c r="A108" s="20">
        <v>45716.105819733799</v>
      </c>
      <c r="B108" s="21" t="s">
        <v>727</v>
      </c>
      <c r="C108" s="21" t="s">
        <v>703</v>
      </c>
      <c r="D108" s="21" t="s">
        <v>930</v>
      </c>
      <c r="E108" s="21">
        <v>4</v>
      </c>
      <c r="F108" s="21">
        <v>4</v>
      </c>
      <c r="G108" s="21">
        <v>4</v>
      </c>
      <c r="H108" s="21">
        <v>4</v>
      </c>
      <c r="I108" s="21">
        <v>4</v>
      </c>
      <c r="J108" s="21">
        <v>3</v>
      </c>
      <c r="K108" s="21">
        <v>4</v>
      </c>
      <c r="L108" s="21" t="s">
        <v>680</v>
      </c>
      <c r="M108" s="21" t="s">
        <v>681</v>
      </c>
      <c r="N108" s="21" t="s">
        <v>931</v>
      </c>
      <c r="O108" s="21" t="s">
        <v>932</v>
      </c>
      <c r="P108" s="21" t="s">
        <v>19</v>
      </c>
      <c r="Q108" s="21" t="s">
        <v>31</v>
      </c>
      <c r="R108" s="21" t="s">
        <v>685</v>
      </c>
    </row>
    <row r="109" spans="1:18" x14ac:dyDescent="0.25">
      <c r="A109" s="20">
        <v>45716.144193680557</v>
      </c>
      <c r="B109" s="21" t="s">
        <v>727</v>
      </c>
      <c r="C109" s="21" t="s">
        <v>679</v>
      </c>
      <c r="D109" s="21" t="s">
        <v>933</v>
      </c>
      <c r="E109" s="21">
        <v>5</v>
      </c>
      <c r="F109" s="21">
        <v>4</v>
      </c>
      <c r="G109" s="21">
        <v>4</v>
      </c>
      <c r="H109" s="21">
        <v>4</v>
      </c>
      <c r="I109" s="21">
        <v>4</v>
      </c>
      <c r="J109" s="21">
        <v>4</v>
      </c>
      <c r="K109" s="21">
        <v>4</v>
      </c>
      <c r="L109" s="21" t="s">
        <v>680</v>
      </c>
      <c r="M109" s="21" t="s">
        <v>681</v>
      </c>
      <c r="N109" s="21" t="s">
        <v>934</v>
      </c>
      <c r="O109" s="21" t="s">
        <v>935</v>
      </c>
      <c r="P109" s="21" t="s">
        <v>19</v>
      </c>
      <c r="Q109" s="21" t="s">
        <v>31</v>
      </c>
      <c r="R109" s="21" t="s">
        <v>685</v>
      </c>
    </row>
    <row r="110" spans="1:18" x14ac:dyDescent="0.25">
      <c r="A110" s="20">
        <v>45716.151626354171</v>
      </c>
      <c r="B110" s="21" t="s">
        <v>727</v>
      </c>
      <c r="C110" s="21" t="s">
        <v>679</v>
      </c>
      <c r="D110" s="21" t="s">
        <v>936</v>
      </c>
      <c r="E110" s="21">
        <v>5</v>
      </c>
      <c r="F110" s="21">
        <v>4</v>
      </c>
      <c r="G110" s="21">
        <v>4</v>
      </c>
      <c r="H110" s="21">
        <v>5</v>
      </c>
      <c r="I110" s="21">
        <v>4</v>
      </c>
      <c r="J110" s="21">
        <v>5</v>
      </c>
      <c r="K110" s="21">
        <v>5</v>
      </c>
      <c r="L110" s="21" t="s">
        <v>680</v>
      </c>
      <c r="M110" s="21" t="s">
        <v>681</v>
      </c>
      <c r="N110" s="21" t="s">
        <v>937</v>
      </c>
      <c r="O110" s="21" t="s">
        <v>938</v>
      </c>
      <c r="P110" s="21" t="s">
        <v>19</v>
      </c>
      <c r="Q110" s="21" t="s">
        <v>31</v>
      </c>
      <c r="R110" s="21" t="s">
        <v>685</v>
      </c>
    </row>
    <row r="111" spans="1:18" x14ac:dyDescent="0.25">
      <c r="A111" s="20">
        <v>45716.156636481479</v>
      </c>
      <c r="B111" s="21" t="s">
        <v>727</v>
      </c>
      <c r="C111" s="21" t="s">
        <v>679</v>
      </c>
      <c r="D111" s="21" t="s">
        <v>939</v>
      </c>
      <c r="E111" s="21">
        <v>5</v>
      </c>
      <c r="F111" s="21">
        <v>5</v>
      </c>
      <c r="G111" s="21">
        <v>5</v>
      </c>
      <c r="H111" s="21">
        <v>5</v>
      </c>
      <c r="I111" s="21">
        <v>5</v>
      </c>
      <c r="J111" s="21">
        <v>5</v>
      </c>
      <c r="K111" s="21">
        <v>5</v>
      </c>
      <c r="L111" s="21" t="s">
        <v>680</v>
      </c>
      <c r="M111" s="21" t="s">
        <v>100</v>
      </c>
      <c r="N111" s="21" t="s">
        <v>940</v>
      </c>
      <c r="O111" s="21" t="s">
        <v>941</v>
      </c>
      <c r="P111" s="21" t="s">
        <v>19</v>
      </c>
      <c r="Q111" s="21" t="s">
        <v>22</v>
      </c>
      <c r="R111" s="21" t="s">
        <v>685</v>
      </c>
    </row>
    <row r="112" spans="1:18" x14ac:dyDescent="0.25">
      <c r="A112" s="20">
        <v>45716.163248217592</v>
      </c>
      <c r="B112" s="21" t="s">
        <v>727</v>
      </c>
      <c r="C112" s="21" t="s">
        <v>679</v>
      </c>
      <c r="D112" s="21" t="s">
        <v>942</v>
      </c>
      <c r="E112" s="21">
        <v>5</v>
      </c>
      <c r="F112" s="21">
        <v>5</v>
      </c>
      <c r="G112" s="21">
        <v>5</v>
      </c>
      <c r="H112" s="21">
        <v>5</v>
      </c>
      <c r="I112" s="21">
        <v>5</v>
      </c>
      <c r="J112" s="21">
        <v>4</v>
      </c>
      <c r="K112" s="21">
        <v>5</v>
      </c>
      <c r="L112" s="21" t="s">
        <v>680</v>
      </c>
      <c r="M112" s="21" t="s">
        <v>100</v>
      </c>
      <c r="N112" s="21" t="s">
        <v>943</v>
      </c>
      <c r="O112" s="21" t="s">
        <v>944</v>
      </c>
      <c r="P112" s="21" t="s">
        <v>19</v>
      </c>
      <c r="Q112" s="21" t="s">
        <v>22</v>
      </c>
      <c r="R112" s="21" t="s">
        <v>685</v>
      </c>
    </row>
    <row r="113" spans="1:18" x14ac:dyDescent="0.25">
      <c r="A113" s="20">
        <v>45716.201661226849</v>
      </c>
      <c r="B113" s="21" t="s">
        <v>727</v>
      </c>
      <c r="C113" s="21" t="s">
        <v>679</v>
      </c>
      <c r="D113" s="21" t="s">
        <v>945</v>
      </c>
      <c r="E113" s="21">
        <v>2</v>
      </c>
      <c r="F113" s="21">
        <v>5</v>
      </c>
      <c r="G113" s="21">
        <v>5</v>
      </c>
      <c r="H113" s="21">
        <v>5</v>
      </c>
      <c r="I113" s="21">
        <v>5</v>
      </c>
      <c r="J113" s="21">
        <v>5</v>
      </c>
      <c r="K113" s="21">
        <v>5</v>
      </c>
      <c r="L113" s="21" t="s">
        <v>680</v>
      </c>
      <c r="M113" s="21" t="s">
        <v>100</v>
      </c>
      <c r="N113" s="21" t="s">
        <v>946</v>
      </c>
      <c r="O113" s="21" t="s">
        <v>947</v>
      </c>
      <c r="P113" s="21" t="s">
        <v>19</v>
      </c>
      <c r="Q113" s="21" t="s">
        <v>22</v>
      </c>
      <c r="R113" s="21" t="s">
        <v>685</v>
      </c>
    </row>
    <row r="114" spans="1:18" x14ac:dyDescent="0.25">
      <c r="A114" s="20">
        <v>45716.207846076388</v>
      </c>
      <c r="B114" s="21" t="s">
        <v>727</v>
      </c>
      <c r="C114" s="21" t="s">
        <v>679</v>
      </c>
      <c r="D114" s="21" t="s">
        <v>948</v>
      </c>
      <c r="E114" s="21">
        <v>5</v>
      </c>
      <c r="F114" s="21">
        <v>4</v>
      </c>
      <c r="G114" s="21">
        <v>5</v>
      </c>
      <c r="H114" s="21">
        <v>5</v>
      </c>
      <c r="I114" s="21">
        <v>5</v>
      </c>
      <c r="J114" s="21">
        <v>4</v>
      </c>
      <c r="K114" s="21">
        <v>3</v>
      </c>
      <c r="L114" s="21" t="s">
        <v>687</v>
      </c>
      <c r="M114" s="21" t="s">
        <v>681</v>
      </c>
      <c r="N114" s="21" t="s">
        <v>949</v>
      </c>
      <c r="O114" s="21" t="s">
        <v>950</v>
      </c>
      <c r="P114" s="21" t="s">
        <v>19</v>
      </c>
      <c r="Q114" s="21" t="s">
        <v>22</v>
      </c>
      <c r="R114" s="21" t="s">
        <v>685</v>
      </c>
    </row>
    <row r="115" spans="1:18" x14ac:dyDescent="0.25">
      <c r="A115" s="20">
        <v>45716.230203356477</v>
      </c>
      <c r="B115" s="21" t="s">
        <v>727</v>
      </c>
      <c r="C115" s="21" t="s">
        <v>679</v>
      </c>
      <c r="D115" s="21" t="s">
        <v>951</v>
      </c>
      <c r="E115" s="21">
        <v>5</v>
      </c>
      <c r="F115" s="21">
        <v>5</v>
      </c>
      <c r="G115" s="21">
        <v>5</v>
      </c>
      <c r="H115" s="21">
        <v>5</v>
      </c>
      <c r="I115" s="21">
        <v>4</v>
      </c>
      <c r="J115" s="21">
        <v>4</v>
      </c>
      <c r="K115" s="21">
        <v>5</v>
      </c>
      <c r="L115" s="21" t="s">
        <v>680</v>
      </c>
      <c r="M115" s="21" t="s">
        <v>100</v>
      </c>
      <c r="N115" s="21" t="s">
        <v>952</v>
      </c>
      <c r="O115" s="21" t="s">
        <v>953</v>
      </c>
      <c r="P115" s="21" t="s">
        <v>19</v>
      </c>
      <c r="Q115" s="21" t="s">
        <v>22</v>
      </c>
      <c r="R115" s="21" t="s">
        <v>685</v>
      </c>
    </row>
    <row r="116" spans="1:18" x14ac:dyDescent="0.25">
      <c r="A116" s="20">
        <v>45716.255663020835</v>
      </c>
      <c r="B116" s="21" t="s">
        <v>727</v>
      </c>
      <c r="C116" s="21" t="s">
        <v>679</v>
      </c>
      <c r="D116" s="21" t="s">
        <v>954</v>
      </c>
      <c r="E116" s="21">
        <v>5</v>
      </c>
      <c r="F116" s="21">
        <v>5</v>
      </c>
      <c r="G116" s="21">
        <v>4</v>
      </c>
      <c r="H116" s="21">
        <v>4</v>
      </c>
      <c r="I116" s="21">
        <v>5</v>
      </c>
      <c r="J116" s="21">
        <v>4</v>
      </c>
      <c r="K116" s="21">
        <v>4</v>
      </c>
      <c r="L116" s="21" t="s">
        <v>680</v>
      </c>
      <c r="M116" s="21" t="s">
        <v>681</v>
      </c>
      <c r="N116" s="21" t="s">
        <v>955</v>
      </c>
      <c r="O116" s="21" t="s">
        <v>956</v>
      </c>
      <c r="P116" s="21" t="s">
        <v>19</v>
      </c>
      <c r="Q116" s="21" t="s">
        <v>31</v>
      </c>
      <c r="R116" s="21" t="s">
        <v>685</v>
      </c>
    </row>
    <row r="117" spans="1:18" x14ac:dyDescent="0.25">
      <c r="A117" s="20">
        <v>45716.356446886573</v>
      </c>
      <c r="B117" s="21" t="s">
        <v>727</v>
      </c>
      <c r="C117" s="21" t="s">
        <v>679</v>
      </c>
      <c r="D117" s="21" t="s">
        <v>957</v>
      </c>
      <c r="E117" s="21">
        <v>5</v>
      </c>
      <c r="F117" s="21">
        <v>5</v>
      </c>
      <c r="G117" s="21">
        <v>5</v>
      </c>
      <c r="H117" s="21">
        <v>5</v>
      </c>
      <c r="I117" s="21">
        <v>4</v>
      </c>
      <c r="J117" s="21">
        <v>5</v>
      </c>
      <c r="K117" s="21">
        <v>5</v>
      </c>
      <c r="L117" s="21" t="s">
        <v>680</v>
      </c>
      <c r="M117" s="21" t="s">
        <v>681</v>
      </c>
      <c r="N117" s="21" t="s">
        <v>958</v>
      </c>
      <c r="O117" s="21" t="s">
        <v>959</v>
      </c>
      <c r="P117" s="21" t="s">
        <v>19</v>
      </c>
      <c r="Q117" s="21" t="s">
        <v>22</v>
      </c>
      <c r="R117" s="21" t="s">
        <v>685</v>
      </c>
    </row>
    <row r="118" spans="1:18" x14ac:dyDescent="0.25">
      <c r="A118" s="20">
        <v>45716.361572083333</v>
      </c>
      <c r="B118" s="21" t="s">
        <v>727</v>
      </c>
      <c r="C118" s="21" t="s">
        <v>703</v>
      </c>
      <c r="D118" s="21" t="s">
        <v>960</v>
      </c>
      <c r="E118" s="21">
        <v>2</v>
      </c>
      <c r="F118" s="21">
        <v>2</v>
      </c>
      <c r="G118" s="21">
        <v>2</v>
      </c>
      <c r="H118" s="21">
        <v>1</v>
      </c>
      <c r="I118" s="21">
        <v>2</v>
      </c>
      <c r="J118" s="21">
        <v>3</v>
      </c>
      <c r="K118" s="21">
        <v>2</v>
      </c>
      <c r="L118" s="21" t="s">
        <v>680</v>
      </c>
      <c r="M118" s="21" t="s">
        <v>16</v>
      </c>
      <c r="N118" s="21" t="s">
        <v>961</v>
      </c>
      <c r="O118" s="21" t="s">
        <v>962</v>
      </c>
      <c r="P118" s="21" t="s">
        <v>19</v>
      </c>
      <c r="Q118" s="21" t="s">
        <v>31</v>
      </c>
      <c r="R118" s="21" t="s">
        <v>685</v>
      </c>
    </row>
    <row r="119" spans="1:18" x14ac:dyDescent="0.25">
      <c r="A119" s="20">
        <v>45722.254303587964</v>
      </c>
      <c r="B119" s="21" t="s">
        <v>963</v>
      </c>
      <c r="C119" s="21" t="s">
        <v>703</v>
      </c>
      <c r="D119" s="21" t="s">
        <v>964</v>
      </c>
      <c r="E119" s="21">
        <v>4</v>
      </c>
      <c r="F119" s="21">
        <v>4</v>
      </c>
      <c r="G119" s="21">
        <v>5</v>
      </c>
      <c r="H119" s="21">
        <v>5</v>
      </c>
      <c r="I119" s="21">
        <v>5</v>
      </c>
      <c r="J119" s="21">
        <v>4</v>
      </c>
      <c r="K119" s="21">
        <v>4</v>
      </c>
      <c r="L119" s="21" t="s">
        <v>680</v>
      </c>
      <c r="M119" s="21" t="s">
        <v>681</v>
      </c>
      <c r="N119" s="21" t="s">
        <v>965</v>
      </c>
      <c r="O119" s="21" t="s">
        <v>750</v>
      </c>
      <c r="P119" s="21" t="s">
        <v>684</v>
      </c>
      <c r="Q119" s="21" t="s">
        <v>22</v>
      </c>
      <c r="R119" s="21" t="s">
        <v>685</v>
      </c>
    </row>
    <row r="120" spans="1:18" x14ac:dyDescent="0.25">
      <c r="A120" s="20">
        <v>45722.384966157406</v>
      </c>
      <c r="B120" s="21" t="s">
        <v>963</v>
      </c>
      <c r="C120" s="21" t="s">
        <v>679</v>
      </c>
      <c r="D120" s="21" t="s">
        <v>966</v>
      </c>
      <c r="E120" s="21">
        <v>5</v>
      </c>
      <c r="F120" s="21">
        <v>5</v>
      </c>
      <c r="G120" s="21">
        <v>5</v>
      </c>
      <c r="H120" s="21">
        <v>5</v>
      </c>
      <c r="I120" s="21">
        <v>5</v>
      </c>
      <c r="J120" s="21">
        <v>5</v>
      </c>
      <c r="K120" s="21">
        <v>5</v>
      </c>
      <c r="L120" s="21" t="s">
        <v>680</v>
      </c>
      <c r="M120" s="21" t="s">
        <v>100</v>
      </c>
      <c r="N120" s="21" t="s">
        <v>967</v>
      </c>
      <c r="O120" s="21" t="s">
        <v>968</v>
      </c>
      <c r="P120" s="21" t="s">
        <v>684</v>
      </c>
      <c r="Q120" s="21" t="s">
        <v>22</v>
      </c>
      <c r="R120" s="21" t="s">
        <v>685</v>
      </c>
    </row>
    <row r="121" spans="1:18" x14ac:dyDescent="0.25">
      <c r="A121" s="20">
        <v>45722.385948310184</v>
      </c>
      <c r="B121" s="21" t="s">
        <v>963</v>
      </c>
      <c r="C121" s="21" t="s">
        <v>679</v>
      </c>
      <c r="D121" s="21" t="s">
        <v>969</v>
      </c>
      <c r="E121" s="21">
        <v>5</v>
      </c>
      <c r="F121" s="21">
        <v>5</v>
      </c>
      <c r="G121" s="21">
        <v>5</v>
      </c>
      <c r="H121" s="21">
        <v>5</v>
      </c>
      <c r="I121" s="21">
        <v>5</v>
      </c>
      <c r="J121" s="21">
        <v>4</v>
      </c>
      <c r="K121" s="21">
        <v>5</v>
      </c>
      <c r="L121" s="21" t="s">
        <v>743</v>
      </c>
      <c r="M121" s="21" t="s">
        <v>100</v>
      </c>
      <c r="N121" s="21" t="s">
        <v>970</v>
      </c>
      <c r="O121" s="21" t="s">
        <v>270</v>
      </c>
      <c r="P121" s="21" t="s">
        <v>684</v>
      </c>
      <c r="Q121" s="21" t="s">
        <v>22</v>
      </c>
      <c r="R121" s="21" t="s">
        <v>685</v>
      </c>
    </row>
    <row r="122" spans="1:18" x14ac:dyDescent="0.25">
      <c r="A122" s="20">
        <v>45722.485351585652</v>
      </c>
      <c r="B122" s="21" t="s">
        <v>963</v>
      </c>
      <c r="C122" s="21" t="s">
        <v>679</v>
      </c>
      <c r="D122" s="21" t="s">
        <v>971</v>
      </c>
      <c r="E122" s="21">
        <v>5</v>
      </c>
      <c r="F122" s="21">
        <v>5</v>
      </c>
      <c r="G122" s="21">
        <v>5</v>
      </c>
      <c r="H122" s="21">
        <v>5</v>
      </c>
      <c r="I122" s="21">
        <v>5</v>
      </c>
      <c r="J122" s="21">
        <v>5</v>
      </c>
      <c r="K122" s="21">
        <v>5</v>
      </c>
      <c r="L122" s="21" t="s">
        <v>687</v>
      </c>
      <c r="M122" s="21" t="s">
        <v>100</v>
      </c>
      <c r="N122" s="21" t="s">
        <v>972</v>
      </c>
      <c r="O122" s="21" t="s">
        <v>689</v>
      </c>
      <c r="P122" s="21" t="s">
        <v>684</v>
      </c>
      <c r="Q122" s="21" t="s">
        <v>22</v>
      </c>
      <c r="R122" s="21" t="s">
        <v>685</v>
      </c>
    </row>
    <row r="123" spans="1:18" x14ac:dyDescent="0.25">
      <c r="A123" s="20">
        <v>45722.643062627314</v>
      </c>
      <c r="B123" s="21" t="s">
        <v>963</v>
      </c>
      <c r="C123" s="21" t="s">
        <v>679</v>
      </c>
      <c r="E123" s="21">
        <v>5</v>
      </c>
      <c r="F123" s="21">
        <v>5</v>
      </c>
      <c r="G123" s="21">
        <v>5</v>
      </c>
      <c r="H123" s="21">
        <v>5</v>
      </c>
      <c r="I123" s="21">
        <v>5</v>
      </c>
      <c r="J123" s="21">
        <v>5</v>
      </c>
      <c r="K123" s="21">
        <v>5</v>
      </c>
      <c r="L123" s="21" t="s">
        <v>680</v>
      </c>
      <c r="M123" s="21" t="s">
        <v>100</v>
      </c>
      <c r="N123" s="21" t="s">
        <v>973</v>
      </c>
      <c r="O123" s="21" t="s">
        <v>974</v>
      </c>
      <c r="P123" s="21" t="s">
        <v>684</v>
      </c>
      <c r="Q123" s="21" t="s">
        <v>22</v>
      </c>
      <c r="R123" s="21" t="s">
        <v>685</v>
      </c>
    </row>
    <row r="124" spans="1:18" x14ac:dyDescent="0.25">
      <c r="A124" s="20">
        <v>45725.382717997687</v>
      </c>
      <c r="B124" s="21" t="s">
        <v>963</v>
      </c>
      <c r="C124" s="21" t="s">
        <v>679</v>
      </c>
      <c r="D124" s="21" t="s">
        <v>975</v>
      </c>
      <c r="E124" s="21">
        <v>4</v>
      </c>
      <c r="F124" s="21">
        <v>4</v>
      </c>
      <c r="G124" s="21">
        <v>4</v>
      </c>
      <c r="H124" s="21">
        <v>4</v>
      </c>
      <c r="I124" s="21">
        <v>5</v>
      </c>
      <c r="J124" s="21">
        <v>5</v>
      </c>
      <c r="K124" s="21">
        <v>4</v>
      </c>
      <c r="L124" s="21" t="s">
        <v>680</v>
      </c>
      <c r="M124" s="21" t="s">
        <v>681</v>
      </c>
      <c r="N124" s="21" t="s">
        <v>976</v>
      </c>
      <c r="O124" s="21" t="s">
        <v>977</v>
      </c>
      <c r="P124" s="21" t="s">
        <v>684</v>
      </c>
      <c r="Q124" s="21" t="s">
        <v>22</v>
      </c>
      <c r="R124" s="21" t="s">
        <v>685</v>
      </c>
    </row>
    <row r="125" spans="1:18" x14ac:dyDescent="0.25">
      <c r="A125" s="20">
        <v>45759.259876365744</v>
      </c>
      <c r="B125" s="21" t="s">
        <v>849</v>
      </c>
      <c r="C125" s="21" t="s">
        <v>679</v>
      </c>
      <c r="D125" s="21" t="s">
        <v>978</v>
      </c>
      <c r="E125" s="21">
        <v>5</v>
      </c>
      <c r="F125" s="21">
        <v>5</v>
      </c>
      <c r="G125" s="21">
        <v>5</v>
      </c>
      <c r="H125" s="21">
        <v>4</v>
      </c>
      <c r="I125" s="21">
        <v>5</v>
      </c>
      <c r="J125" s="21">
        <v>5</v>
      </c>
      <c r="K125" s="21">
        <v>5</v>
      </c>
      <c r="L125" s="21" t="s">
        <v>680</v>
      </c>
      <c r="M125" s="21" t="s">
        <v>100</v>
      </c>
      <c r="N125" s="21" t="s">
        <v>979</v>
      </c>
      <c r="O125" s="21" t="s">
        <v>980</v>
      </c>
      <c r="P125" s="21" t="s">
        <v>19</v>
      </c>
      <c r="Q125" s="21" t="s">
        <v>22</v>
      </c>
      <c r="R125" s="21" t="s">
        <v>685</v>
      </c>
    </row>
    <row r="126" spans="1:18" x14ac:dyDescent="0.25">
      <c r="A126" s="20">
        <v>45759.26763368056</v>
      </c>
      <c r="B126" s="21" t="s">
        <v>849</v>
      </c>
      <c r="C126" s="21" t="s">
        <v>703</v>
      </c>
      <c r="D126" s="21" t="s">
        <v>981</v>
      </c>
      <c r="E126" s="21">
        <v>5</v>
      </c>
      <c r="F126" s="21">
        <v>1</v>
      </c>
      <c r="G126" s="21">
        <v>2</v>
      </c>
      <c r="H126" s="21">
        <v>2</v>
      </c>
      <c r="I126" s="21">
        <v>2</v>
      </c>
      <c r="J126" s="21">
        <v>2</v>
      </c>
      <c r="K126" s="21">
        <v>2</v>
      </c>
      <c r="L126" s="21" t="s">
        <v>743</v>
      </c>
      <c r="M126" s="21" t="s">
        <v>681</v>
      </c>
      <c r="N126" s="21" t="s">
        <v>982</v>
      </c>
      <c r="O126" s="21" t="s">
        <v>983</v>
      </c>
      <c r="P126" s="21" t="s">
        <v>19</v>
      </c>
      <c r="Q126" s="21" t="s">
        <v>31</v>
      </c>
      <c r="R126" s="21" t="s">
        <v>685</v>
      </c>
    </row>
    <row r="127" spans="1:18" x14ac:dyDescent="0.25">
      <c r="A127" s="20">
        <v>45759.268570462962</v>
      </c>
      <c r="B127" s="21" t="s">
        <v>849</v>
      </c>
      <c r="C127" s="21" t="s">
        <v>703</v>
      </c>
      <c r="D127" s="21" t="s">
        <v>984</v>
      </c>
      <c r="E127" s="21">
        <v>5</v>
      </c>
      <c r="F127" s="21">
        <v>4</v>
      </c>
      <c r="G127" s="21">
        <v>5</v>
      </c>
      <c r="H127" s="21">
        <v>5</v>
      </c>
      <c r="I127" s="21">
        <v>5</v>
      </c>
      <c r="J127" s="21">
        <v>4</v>
      </c>
      <c r="K127" s="21">
        <v>5</v>
      </c>
      <c r="L127" s="21" t="s">
        <v>680</v>
      </c>
      <c r="M127" s="21" t="s">
        <v>100</v>
      </c>
      <c r="N127" s="21" t="s">
        <v>985</v>
      </c>
      <c r="O127" s="21" t="s">
        <v>986</v>
      </c>
      <c r="P127" s="21" t="s">
        <v>19</v>
      </c>
      <c r="Q127" s="21" t="s">
        <v>31</v>
      </c>
      <c r="R127" s="21" t="s">
        <v>685</v>
      </c>
    </row>
    <row r="128" spans="1:18" x14ac:dyDescent="0.25">
      <c r="A128" s="20">
        <v>45759.271124189814</v>
      </c>
      <c r="B128" s="21" t="s">
        <v>849</v>
      </c>
      <c r="C128" s="21" t="s">
        <v>679</v>
      </c>
      <c r="D128" s="21" t="s">
        <v>987</v>
      </c>
      <c r="E128" s="21">
        <v>5</v>
      </c>
      <c r="F128" s="21">
        <v>4</v>
      </c>
      <c r="G128" s="21">
        <v>5</v>
      </c>
      <c r="H128" s="21">
        <v>5</v>
      </c>
      <c r="I128" s="21">
        <v>5</v>
      </c>
      <c r="J128" s="21">
        <v>4</v>
      </c>
      <c r="K128" s="21">
        <v>5</v>
      </c>
      <c r="L128" s="21" t="s">
        <v>680</v>
      </c>
      <c r="M128" s="21" t="s">
        <v>681</v>
      </c>
      <c r="N128" s="21" t="s">
        <v>988</v>
      </c>
      <c r="O128" s="21" t="s">
        <v>989</v>
      </c>
      <c r="P128" s="21" t="s">
        <v>19</v>
      </c>
      <c r="Q128" s="21" t="s">
        <v>31</v>
      </c>
      <c r="R128" s="21" t="s">
        <v>685</v>
      </c>
    </row>
    <row r="129" spans="1:18" x14ac:dyDescent="0.25">
      <c r="A129" s="20">
        <v>45759.297414409724</v>
      </c>
      <c r="B129" s="21" t="s">
        <v>849</v>
      </c>
      <c r="C129" s="21" t="s">
        <v>679</v>
      </c>
      <c r="D129" s="21" t="s">
        <v>990</v>
      </c>
      <c r="E129" s="21">
        <v>5</v>
      </c>
      <c r="F129" s="21">
        <v>5</v>
      </c>
      <c r="G129" s="21">
        <v>5</v>
      </c>
      <c r="H129" s="21">
        <v>5</v>
      </c>
      <c r="I129" s="21">
        <v>5</v>
      </c>
      <c r="J129" s="21">
        <v>5</v>
      </c>
      <c r="K129" s="21">
        <v>5</v>
      </c>
      <c r="L129" s="21" t="s">
        <v>680</v>
      </c>
      <c r="M129" s="21" t="s">
        <v>100</v>
      </c>
      <c r="N129" s="21" t="s">
        <v>991</v>
      </c>
      <c r="O129" s="21" t="s">
        <v>498</v>
      </c>
      <c r="P129" s="21" t="s">
        <v>19</v>
      </c>
      <c r="Q129" s="21" t="s">
        <v>22</v>
      </c>
      <c r="R129" s="21" t="s">
        <v>685</v>
      </c>
    </row>
    <row r="130" spans="1:18" x14ac:dyDescent="0.25">
      <c r="A130" s="20">
        <v>45759.322482013886</v>
      </c>
      <c r="B130" s="21" t="s">
        <v>849</v>
      </c>
      <c r="C130" s="21" t="s">
        <v>679</v>
      </c>
      <c r="D130" s="21" t="s">
        <v>992</v>
      </c>
      <c r="E130" s="21">
        <v>5</v>
      </c>
      <c r="F130" s="21">
        <v>5</v>
      </c>
      <c r="G130" s="21">
        <v>5</v>
      </c>
      <c r="H130" s="21">
        <v>5</v>
      </c>
      <c r="I130" s="21">
        <v>5</v>
      </c>
      <c r="J130" s="21">
        <v>3</v>
      </c>
      <c r="K130" s="21">
        <v>5</v>
      </c>
      <c r="L130" s="21" t="s">
        <v>680</v>
      </c>
      <c r="M130" s="21" t="s">
        <v>681</v>
      </c>
      <c r="N130" s="21" t="s">
        <v>993</v>
      </c>
      <c r="O130" s="21" t="s">
        <v>994</v>
      </c>
      <c r="P130" s="21" t="s">
        <v>19</v>
      </c>
      <c r="Q130" s="21" t="s">
        <v>31</v>
      </c>
      <c r="R130" s="21" t="s">
        <v>685</v>
      </c>
    </row>
    <row r="131" spans="1:18" x14ac:dyDescent="0.25">
      <c r="A131" s="20">
        <v>45759.333226736111</v>
      </c>
      <c r="B131" s="21" t="s">
        <v>849</v>
      </c>
      <c r="C131" s="21" t="s">
        <v>679</v>
      </c>
      <c r="D131" s="21" t="s">
        <v>995</v>
      </c>
      <c r="E131" s="21">
        <v>5</v>
      </c>
      <c r="F131" s="21">
        <v>5</v>
      </c>
      <c r="G131" s="21">
        <v>5</v>
      </c>
      <c r="H131" s="21">
        <v>5</v>
      </c>
      <c r="I131" s="21">
        <v>5</v>
      </c>
      <c r="J131" s="21">
        <v>5</v>
      </c>
      <c r="K131" s="21">
        <v>5</v>
      </c>
      <c r="L131" s="21" t="s">
        <v>680</v>
      </c>
      <c r="M131" s="21" t="s">
        <v>100</v>
      </c>
      <c r="N131" s="21" t="s">
        <v>996</v>
      </c>
      <c r="O131" s="21" t="s">
        <v>997</v>
      </c>
      <c r="P131" s="21" t="s">
        <v>19</v>
      </c>
      <c r="Q131" s="21" t="s">
        <v>22</v>
      </c>
      <c r="R131" s="21" t="s">
        <v>685</v>
      </c>
    </row>
    <row r="132" spans="1:18" x14ac:dyDescent="0.25">
      <c r="A132" s="20">
        <v>45759.333404236109</v>
      </c>
      <c r="B132" s="21" t="s">
        <v>849</v>
      </c>
      <c r="C132" s="21" t="s">
        <v>679</v>
      </c>
      <c r="D132" s="21" t="s">
        <v>998</v>
      </c>
      <c r="E132" s="21">
        <v>5</v>
      </c>
      <c r="F132" s="21">
        <v>5</v>
      </c>
      <c r="G132" s="21">
        <v>4</v>
      </c>
      <c r="H132" s="21">
        <v>5</v>
      </c>
      <c r="I132" s="21">
        <v>5</v>
      </c>
      <c r="J132" s="21">
        <v>4</v>
      </c>
      <c r="K132" s="21">
        <v>5</v>
      </c>
      <c r="L132" s="21" t="s">
        <v>680</v>
      </c>
      <c r="M132" s="21" t="s">
        <v>681</v>
      </c>
      <c r="N132" s="21" t="s">
        <v>999</v>
      </c>
      <c r="O132" s="21" t="s">
        <v>1000</v>
      </c>
      <c r="P132" s="21" t="s">
        <v>19</v>
      </c>
      <c r="Q132" s="21" t="s">
        <v>31</v>
      </c>
      <c r="R132" s="21" t="s">
        <v>685</v>
      </c>
    </row>
    <row r="133" spans="1:18" x14ac:dyDescent="0.25">
      <c r="A133" s="20">
        <v>45759.337789942132</v>
      </c>
      <c r="B133" s="21" t="s">
        <v>849</v>
      </c>
      <c r="C133" s="21" t="s">
        <v>679</v>
      </c>
      <c r="D133" s="21" t="s">
        <v>1001</v>
      </c>
      <c r="E133" s="21">
        <v>5</v>
      </c>
      <c r="F133" s="21">
        <v>5</v>
      </c>
      <c r="G133" s="21">
        <v>5</v>
      </c>
      <c r="H133" s="21">
        <v>5</v>
      </c>
      <c r="I133" s="21">
        <v>5</v>
      </c>
      <c r="J133" s="21">
        <v>5</v>
      </c>
      <c r="K133" s="21">
        <v>5</v>
      </c>
      <c r="L133" s="21" t="s">
        <v>743</v>
      </c>
      <c r="M133" s="21" t="s">
        <v>100</v>
      </c>
      <c r="N133" s="21" t="s">
        <v>1002</v>
      </c>
      <c r="O133" s="21" t="s">
        <v>1003</v>
      </c>
      <c r="P133" s="21" t="s">
        <v>19</v>
      </c>
      <c r="Q133" s="21" t="s">
        <v>22</v>
      </c>
      <c r="R133" s="21" t="s">
        <v>685</v>
      </c>
    </row>
    <row r="134" spans="1:18" x14ac:dyDescent="0.25">
      <c r="A134" s="20">
        <v>45759.341950960646</v>
      </c>
      <c r="B134" s="21" t="s">
        <v>849</v>
      </c>
      <c r="C134" s="21" t="s">
        <v>679</v>
      </c>
      <c r="D134" s="21" t="s">
        <v>1004</v>
      </c>
      <c r="E134" s="21">
        <v>5</v>
      </c>
      <c r="F134" s="21">
        <v>5</v>
      </c>
      <c r="G134" s="21">
        <v>5</v>
      </c>
      <c r="H134" s="21">
        <v>5</v>
      </c>
      <c r="I134" s="21">
        <v>5</v>
      </c>
      <c r="J134" s="21">
        <v>5</v>
      </c>
      <c r="K134" s="21">
        <v>5</v>
      </c>
      <c r="L134" s="21" t="s">
        <v>680</v>
      </c>
      <c r="M134" s="21" t="s">
        <v>100</v>
      </c>
      <c r="N134" s="21" t="s">
        <v>1005</v>
      </c>
      <c r="O134" s="21" t="s">
        <v>1006</v>
      </c>
      <c r="P134" s="21" t="s">
        <v>19</v>
      </c>
      <c r="Q134" s="21" t="s">
        <v>22</v>
      </c>
      <c r="R134" s="21" t="s">
        <v>685</v>
      </c>
    </row>
    <row r="135" spans="1:18" x14ac:dyDescent="0.25">
      <c r="A135" s="20">
        <v>45759.694314120366</v>
      </c>
      <c r="B135" s="21" t="s">
        <v>849</v>
      </c>
      <c r="C135" s="21" t="s">
        <v>679</v>
      </c>
      <c r="D135" s="21" t="s">
        <v>1007</v>
      </c>
      <c r="E135" s="21">
        <v>5</v>
      </c>
      <c r="F135" s="21">
        <v>5</v>
      </c>
      <c r="G135" s="21">
        <v>5</v>
      </c>
      <c r="H135" s="21">
        <v>5</v>
      </c>
      <c r="I135" s="21">
        <v>5</v>
      </c>
      <c r="J135" s="21">
        <v>5</v>
      </c>
      <c r="K135" s="21">
        <v>5</v>
      </c>
      <c r="L135" s="21" t="s">
        <v>687</v>
      </c>
      <c r="M135" s="21" t="s">
        <v>100</v>
      </c>
      <c r="N135" s="21" t="s">
        <v>1008</v>
      </c>
      <c r="O135" s="21" t="s">
        <v>1009</v>
      </c>
      <c r="P135" s="21" t="s">
        <v>19</v>
      </c>
      <c r="Q135" s="21" t="s">
        <v>22</v>
      </c>
      <c r="R135" s="21" t="s">
        <v>685</v>
      </c>
    </row>
    <row r="136" spans="1:18" x14ac:dyDescent="0.25">
      <c r="A136" s="20">
        <v>45761.017703599537</v>
      </c>
      <c r="B136" s="21" t="s">
        <v>849</v>
      </c>
      <c r="C136" s="21" t="s">
        <v>679</v>
      </c>
      <c r="D136" s="21" t="s">
        <v>1010</v>
      </c>
      <c r="E136" s="21">
        <v>4</v>
      </c>
      <c r="F136" s="21">
        <v>5</v>
      </c>
      <c r="G136" s="21">
        <v>4</v>
      </c>
      <c r="H136" s="21">
        <v>5</v>
      </c>
      <c r="I136" s="21">
        <v>5</v>
      </c>
      <c r="J136" s="21">
        <v>4</v>
      </c>
      <c r="K136" s="21">
        <v>5</v>
      </c>
      <c r="L136" s="21" t="s">
        <v>680</v>
      </c>
      <c r="M136" s="21" t="s">
        <v>681</v>
      </c>
      <c r="N136" s="21" t="s">
        <v>1011</v>
      </c>
      <c r="O136" s="21" t="s">
        <v>1012</v>
      </c>
      <c r="P136" s="21" t="s">
        <v>19</v>
      </c>
      <c r="Q136" s="21" t="s">
        <v>22</v>
      </c>
      <c r="R136" s="21" t="s">
        <v>685</v>
      </c>
    </row>
    <row r="137" spans="1:18" x14ac:dyDescent="0.25">
      <c r="A137" s="20">
        <v>45761.02157809028</v>
      </c>
      <c r="B137" s="21" t="s">
        <v>849</v>
      </c>
      <c r="C137" s="21" t="s">
        <v>679</v>
      </c>
      <c r="D137" s="21" t="s">
        <v>1013</v>
      </c>
      <c r="E137" s="21">
        <v>5</v>
      </c>
      <c r="F137" s="21">
        <v>5</v>
      </c>
      <c r="G137" s="21">
        <v>5</v>
      </c>
      <c r="H137" s="21">
        <v>4</v>
      </c>
      <c r="I137" s="21">
        <v>5</v>
      </c>
      <c r="J137" s="21">
        <v>4</v>
      </c>
      <c r="K137" s="21">
        <v>5</v>
      </c>
      <c r="L137" s="21" t="s">
        <v>680</v>
      </c>
      <c r="M137" s="21" t="s">
        <v>100</v>
      </c>
      <c r="N137" s="21" t="s">
        <v>1014</v>
      </c>
      <c r="O137" s="21" t="s">
        <v>932</v>
      </c>
      <c r="P137" s="21" t="s">
        <v>19</v>
      </c>
      <c r="Q137" s="21" t="s">
        <v>22</v>
      </c>
      <c r="R137" s="21" t="s">
        <v>685</v>
      </c>
    </row>
    <row r="138" spans="1:18" x14ac:dyDescent="0.25">
      <c r="A138" s="20">
        <v>45761.025961307867</v>
      </c>
      <c r="B138" s="21" t="s">
        <v>849</v>
      </c>
      <c r="C138" s="21" t="s">
        <v>679</v>
      </c>
      <c r="D138" s="21" t="s">
        <v>1015</v>
      </c>
      <c r="E138" s="21">
        <v>4</v>
      </c>
      <c r="F138" s="21">
        <v>5</v>
      </c>
      <c r="G138" s="21">
        <v>4</v>
      </c>
      <c r="H138" s="21">
        <v>4</v>
      </c>
      <c r="I138" s="21">
        <v>4</v>
      </c>
      <c r="J138" s="21">
        <v>3</v>
      </c>
      <c r="K138" s="21">
        <v>4</v>
      </c>
      <c r="L138" s="21" t="s">
        <v>687</v>
      </c>
      <c r="M138" s="21" t="s">
        <v>681</v>
      </c>
      <c r="N138" s="21" t="s">
        <v>1016</v>
      </c>
      <c r="O138" s="21" t="s">
        <v>1017</v>
      </c>
      <c r="P138" s="21" t="s">
        <v>19</v>
      </c>
      <c r="Q138" s="21" t="s">
        <v>31</v>
      </c>
      <c r="R138" s="21" t="s">
        <v>685</v>
      </c>
    </row>
    <row r="139" spans="1:18" x14ac:dyDescent="0.25">
      <c r="A139" s="20">
        <v>45761.031758020836</v>
      </c>
      <c r="B139" s="21" t="s">
        <v>849</v>
      </c>
      <c r="C139" s="21" t="s">
        <v>679</v>
      </c>
      <c r="D139" s="21" t="s">
        <v>1018</v>
      </c>
      <c r="E139" s="21">
        <v>5</v>
      </c>
      <c r="F139" s="21">
        <v>5</v>
      </c>
      <c r="G139" s="21">
        <v>5</v>
      </c>
      <c r="H139" s="21">
        <v>5</v>
      </c>
      <c r="I139" s="21">
        <v>5</v>
      </c>
      <c r="J139" s="21">
        <v>5</v>
      </c>
      <c r="K139" s="21">
        <v>5</v>
      </c>
      <c r="L139" s="21" t="s">
        <v>680</v>
      </c>
      <c r="M139" s="21" t="s">
        <v>100</v>
      </c>
      <c r="N139" s="21" t="s">
        <v>1019</v>
      </c>
      <c r="O139" s="21" t="s">
        <v>1020</v>
      </c>
      <c r="P139" s="21" t="s">
        <v>19</v>
      </c>
      <c r="Q139" s="21" t="s">
        <v>22</v>
      </c>
      <c r="R139" s="21" t="s">
        <v>685</v>
      </c>
    </row>
    <row r="140" spans="1:18" x14ac:dyDescent="0.25">
      <c r="A140" s="20">
        <v>45761.03397344907</v>
      </c>
      <c r="B140" s="21" t="s">
        <v>849</v>
      </c>
      <c r="C140" s="21" t="s">
        <v>679</v>
      </c>
      <c r="D140" s="21" t="s">
        <v>1021</v>
      </c>
      <c r="E140" s="21">
        <v>5</v>
      </c>
      <c r="F140" s="21">
        <v>5</v>
      </c>
      <c r="G140" s="21">
        <v>5</v>
      </c>
      <c r="H140" s="21">
        <v>5</v>
      </c>
      <c r="I140" s="21">
        <v>5</v>
      </c>
      <c r="J140" s="21">
        <v>4</v>
      </c>
      <c r="K140" s="21">
        <v>5</v>
      </c>
      <c r="L140" s="21" t="s">
        <v>680</v>
      </c>
      <c r="M140" s="21" t="s">
        <v>100</v>
      </c>
      <c r="N140" s="21" t="s">
        <v>1022</v>
      </c>
      <c r="O140" s="21" t="s">
        <v>1023</v>
      </c>
      <c r="P140" s="21" t="s">
        <v>19</v>
      </c>
      <c r="Q140" s="21" t="s">
        <v>31</v>
      </c>
      <c r="R140" s="21" t="s">
        <v>685</v>
      </c>
    </row>
    <row r="141" spans="1:18" x14ac:dyDescent="0.25">
      <c r="A141" s="20">
        <v>45761.053115659721</v>
      </c>
      <c r="B141" s="21" t="s">
        <v>849</v>
      </c>
      <c r="C141" s="21" t="s">
        <v>679</v>
      </c>
      <c r="D141" s="21" t="s">
        <v>1024</v>
      </c>
      <c r="E141" s="21">
        <v>5</v>
      </c>
      <c r="F141" s="21">
        <v>5</v>
      </c>
      <c r="G141" s="21">
        <v>5</v>
      </c>
      <c r="H141" s="21">
        <v>5</v>
      </c>
      <c r="I141" s="21">
        <v>4</v>
      </c>
      <c r="J141" s="21">
        <v>4</v>
      </c>
      <c r="K141" s="21">
        <v>5</v>
      </c>
      <c r="L141" s="21" t="s">
        <v>680</v>
      </c>
      <c r="M141" s="21" t="s">
        <v>100</v>
      </c>
      <c r="N141" s="21" t="s">
        <v>1025</v>
      </c>
      <c r="O141" s="21" t="s">
        <v>1026</v>
      </c>
      <c r="P141" s="21" t="s">
        <v>19</v>
      </c>
      <c r="Q141" s="21" t="s">
        <v>31</v>
      </c>
      <c r="R141" s="21" t="s">
        <v>685</v>
      </c>
    </row>
    <row r="142" spans="1:18" x14ac:dyDescent="0.25">
      <c r="A142" s="20">
        <v>45761.063528900464</v>
      </c>
      <c r="B142" s="21" t="s">
        <v>849</v>
      </c>
      <c r="C142" s="21" t="s">
        <v>703</v>
      </c>
      <c r="D142" s="21" t="s">
        <v>1027</v>
      </c>
      <c r="E142" s="21">
        <v>5</v>
      </c>
      <c r="F142" s="21">
        <v>5</v>
      </c>
      <c r="G142" s="21">
        <v>5</v>
      </c>
      <c r="H142" s="21">
        <v>5</v>
      </c>
      <c r="I142" s="21">
        <v>5</v>
      </c>
      <c r="J142" s="21">
        <v>5</v>
      </c>
      <c r="K142" s="21">
        <v>5</v>
      </c>
      <c r="L142" s="21" t="s">
        <v>680</v>
      </c>
      <c r="M142" s="21" t="s">
        <v>100</v>
      </c>
      <c r="N142" s="21" t="s">
        <v>1028</v>
      </c>
      <c r="O142" s="21" t="s">
        <v>238</v>
      </c>
      <c r="P142" s="21" t="s">
        <v>19</v>
      </c>
      <c r="Q142" s="21" t="s">
        <v>31</v>
      </c>
      <c r="R142" s="21" t="s">
        <v>685</v>
      </c>
    </row>
    <row r="143" spans="1:18" x14ac:dyDescent="0.25">
      <c r="A143" s="20">
        <v>45761.064803807865</v>
      </c>
      <c r="B143" s="21" t="s">
        <v>849</v>
      </c>
      <c r="C143" s="21" t="s">
        <v>679</v>
      </c>
      <c r="D143" s="21" t="s">
        <v>1029</v>
      </c>
      <c r="E143" s="21">
        <v>5</v>
      </c>
      <c r="F143" s="21">
        <v>5</v>
      </c>
      <c r="G143" s="21">
        <v>5</v>
      </c>
      <c r="H143" s="21">
        <v>5</v>
      </c>
      <c r="I143" s="21">
        <v>5</v>
      </c>
      <c r="J143" s="21">
        <v>5</v>
      </c>
      <c r="K143" s="21">
        <v>5</v>
      </c>
      <c r="L143" s="21" t="s">
        <v>687</v>
      </c>
      <c r="M143" s="21" t="s">
        <v>100</v>
      </c>
      <c r="N143" s="21" t="s">
        <v>1030</v>
      </c>
      <c r="O143" s="21" t="s">
        <v>498</v>
      </c>
      <c r="P143" s="21" t="s">
        <v>19</v>
      </c>
      <c r="Q143" s="21" t="s">
        <v>22</v>
      </c>
      <c r="R143" s="21" t="s">
        <v>685</v>
      </c>
    </row>
    <row r="144" spans="1:18" x14ac:dyDescent="0.25">
      <c r="A144" s="20">
        <v>45761.09301809028</v>
      </c>
      <c r="B144" s="21" t="s">
        <v>849</v>
      </c>
      <c r="C144" s="21" t="s">
        <v>679</v>
      </c>
      <c r="D144" s="21" t="s">
        <v>1031</v>
      </c>
      <c r="E144" s="21">
        <v>4</v>
      </c>
      <c r="F144" s="21">
        <v>5</v>
      </c>
      <c r="G144" s="21">
        <v>5</v>
      </c>
      <c r="H144" s="21">
        <v>5</v>
      </c>
      <c r="I144" s="21">
        <v>5</v>
      </c>
      <c r="J144" s="21">
        <v>4</v>
      </c>
      <c r="K144" s="21">
        <v>5</v>
      </c>
      <c r="L144" s="21" t="s">
        <v>680</v>
      </c>
      <c r="M144" s="21" t="s">
        <v>100</v>
      </c>
      <c r="N144" s="21" t="s">
        <v>1032</v>
      </c>
      <c r="O144" s="21" t="s">
        <v>1033</v>
      </c>
      <c r="P144" s="21" t="s">
        <v>19</v>
      </c>
      <c r="Q144" s="21" t="s">
        <v>22</v>
      </c>
      <c r="R144" s="21" t="s">
        <v>685</v>
      </c>
    </row>
    <row r="145" spans="1:18" x14ac:dyDescent="0.25">
      <c r="A145" s="20">
        <v>45761.112607187504</v>
      </c>
      <c r="B145" s="21" t="s">
        <v>849</v>
      </c>
      <c r="C145" s="21" t="s">
        <v>679</v>
      </c>
      <c r="D145" s="21" t="s">
        <v>1034</v>
      </c>
      <c r="E145" s="21">
        <v>5</v>
      </c>
      <c r="F145" s="21">
        <v>5</v>
      </c>
      <c r="G145" s="21">
        <v>5</v>
      </c>
      <c r="H145" s="21">
        <v>5</v>
      </c>
      <c r="I145" s="21">
        <v>5</v>
      </c>
      <c r="J145" s="21">
        <v>5</v>
      </c>
      <c r="K145" s="21">
        <v>5</v>
      </c>
      <c r="L145" s="21" t="s">
        <v>687</v>
      </c>
      <c r="M145" s="21" t="s">
        <v>100</v>
      </c>
      <c r="N145" s="21" t="s">
        <v>1035</v>
      </c>
      <c r="O145" s="21" t="s">
        <v>1036</v>
      </c>
      <c r="P145" s="21" t="s">
        <v>19</v>
      </c>
      <c r="Q145" s="21" t="s">
        <v>22</v>
      </c>
      <c r="R145" s="21" t="s">
        <v>685</v>
      </c>
    </row>
    <row r="146" spans="1:18" x14ac:dyDescent="0.25">
      <c r="A146" s="20">
        <v>45761.128998888889</v>
      </c>
      <c r="B146" s="21" t="s">
        <v>849</v>
      </c>
      <c r="C146" s="21" t="s">
        <v>679</v>
      </c>
      <c r="D146" s="21" t="s">
        <v>1037</v>
      </c>
      <c r="E146" s="21">
        <v>5</v>
      </c>
      <c r="F146" s="21">
        <v>5</v>
      </c>
      <c r="G146" s="21">
        <v>4</v>
      </c>
      <c r="H146" s="21">
        <v>5</v>
      </c>
      <c r="I146" s="21">
        <v>5</v>
      </c>
      <c r="J146" s="21">
        <v>4</v>
      </c>
      <c r="K146" s="21">
        <v>4</v>
      </c>
      <c r="L146" s="21" t="s">
        <v>680</v>
      </c>
      <c r="M146" s="21" t="s">
        <v>681</v>
      </c>
      <c r="N146" s="21" t="s">
        <v>1038</v>
      </c>
      <c r="O146" s="21" t="s">
        <v>1039</v>
      </c>
      <c r="P146" s="21" t="s">
        <v>19</v>
      </c>
      <c r="Q146" s="21" t="s">
        <v>31</v>
      </c>
      <c r="R146" s="21" t="s">
        <v>685</v>
      </c>
    </row>
    <row r="147" spans="1:18" x14ac:dyDescent="0.25">
      <c r="A147" s="20">
        <v>45761.129060937499</v>
      </c>
      <c r="B147" s="21" t="s">
        <v>849</v>
      </c>
      <c r="C147" s="21" t="s">
        <v>679</v>
      </c>
      <c r="D147" s="21" t="s">
        <v>1040</v>
      </c>
      <c r="E147" s="21">
        <v>5</v>
      </c>
      <c r="F147" s="21">
        <v>4</v>
      </c>
      <c r="G147" s="21">
        <v>5</v>
      </c>
      <c r="H147" s="21">
        <v>5</v>
      </c>
      <c r="I147" s="21">
        <v>5</v>
      </c>
      <c r="J147" s="21">
        <v>5</v>
      </c>
      <c r="K147" s="21">
        <v>5</v>
      </c>
      <c r="L147" s="21" t="s">
        <v>680</v>
      </c>
      <c r="M147" s="21" t="s">
        <v>100</v>
      </c>
      <c r="N147" s="21" t="s">
        <v>1041</v>
      </c>
      <c r="O147" s="21" t="s">
        <v>1042</v>
      </c>
      <c r="P147" s="21" t="s">
        <v>19</v>
      </c>
      <c r="Q147" s="21" t="s">
        <v>22</v>
      </c>
      <c r="R147" s="21" t="s">
        <v>685</v>
      </c>
    </row>
    <row r="148" spans="1:18" x14ac:dyDescent="0.25">
      <c r="A148" s="20">
        <v>45761.337213425926</v>
      </c>
      <c r="B148" s="21" t="s">
        <v>849</v>
      </c>
      <c r="C148" s="21" t="s">
        <v>703</v>
      </c>
      <c r="D148" s="21" t="s">
        <v>1043</v>
      </c>
      <c r="E148" s="21">
        <v>1</v>
      </c>
      <c r="F148" s="21">
        <v>1</v>
      </c>
      <c r="G148" s="21">
        <v>1</v>
      </c>
      <c r="H148" s="21">
        <v>1</v>
      </c>
      <c r="I148" s="21">
        <v>1</v>
      </c>
      <c r="J148" s="21">
        <v>1</v>
      </c>
      <c r="K148" s="21">
        <v>1</v>
      </c>
      <c r="L148" s="21" t="s">
        <v>680</v>
      </c>
      <c r="M148" s="21" t="s">
        <v>100</v>
      </c>
      <c r="N148" s="21" t="s">
        <v>1044</v>
      </c>
      <c r="O148" s="21" t="s">
        <v>1045</v>
      </c>
      <c r="P148" s="21" t="s">
        <v>19</v>
      </c>
      <c r="Q148" s="21" t="s">
        <v>22</v>
      </c>
      <c r="R148" s="21" t="s">
        <v>685</v>
      </c>
    </row>
    <row r="149" spans="1:18" x14ac:dyDescent="0.25">
      <c r="A149" s="20">
        <v>45761.483600023144</v>
      </c>
      <c r="B149" s="21" t="s">
        <v>849</v>
      </c>
      <c r="C149" s="21" t="s">
        <v>679</v>
      </c>
      <c r="D149" s="21" t="s">
        <v>1046</v>
      </c>
      <c r="E149" s="21">
        <v>5</v>
      </c>
      <c r="F149" s="21">
        <v>5</v>
      </c>
      <c r="G149" s="21">
        <v>5</v>
      </c>
      <c r="H149" s="21">
        <v>5</v>
      </c>
      <c r="I149" s="21">
        <v>5</v>
      </c>
      <c r="J149" s="21">
        <v>4</v>
      </c>
      <c r="K149" s="21">
        <v>4</v>
      </c>
      <c r="L149" s="21" t="s">
        <v>687</v>
      </c>
      <c r="M149" s="21" t="s">
        <v>100</v>
      </c>
      <c r="N149" s="21" t="s">
        <v>1047</v>
      </c>
      <c r="O149" s="21" t="s">
        <v>238</v>
      </c>
      <c r="P149" s="21" t="s">
        <v>19</v>
      </c>
      <c r="Q149" s="21" t="s">
        <v>31</v>
      </c>
      <c r="R149" s="21" t="s">
        <v>685</v>
      </c>
    </row>
    <row r="150" spans="1:18" x14ac:dyDescent="0.25">
      <c r="A150" s="20">
        <v>45761.486079270835</v>
      </c>
      <c r="B150" s="21" t="s">
        <v>849</v>
      </c>
      <c r="C150" s="21" t="s">
        <v>703</v>
      </c>
      <c r="D150" s="21" t="s">
        <v>1048</v>
      </c>
      <c r="E150" s="21">
        <v>3</v>
      </c>
      <c r="F150" s="21">
        <v>4</v>
      </c>
      <c r="G150" s="21">
        <v>4</v>
      </c>
      <c r="H150" s="21">
        <v>5</v>
      </c>
      <c r="I150" s="21">
        <v>4</v>
      </c>
      <c r="J150" s="21">
        <v>3</v>
      </c>
      <c r="K150" s="21">
        <v>4</v>
      </c>
      <c r="L150" s="21" t="s">
        <v>680</v>
      </c>
      <c r="M150" s="21" t="s">
        <v>681</v>
      </c>
      <c r="N150" s="21" t="s">
        <v>1049</v>
      </c>
      <c r="O150" s="21" t="s">
        <v>230</v>
      </c>
      <c r="P150" s="21" t="s">
        <v>19</v>
      </c>
      <c r="Q150" s="21" t="s">
        <v>31</v>
      </c>
      <c r="R150" s="21" t="s">
        <v>685</v>
      </c>
    </row>
    <row r="151" spans="1:18" x14ac:dyDescent="0.25">
      <c r="A151" s="20">
        <v>45761.609921875002</v>
      </c>
      <c r="B151" s="21" t="s">
        <v>849</v>
      </c>
      <c r="C151" s="21" t="s">
        <v>679</v>
      </c>
      <c r="D151" s="21" t="s">
        <v>1050</v>
      </c>
      <c r="E151" s="21">
        <v>5</v>
      </c>
      <c r="F151" s="21">
        <v>5</v>
      </c>
      <c r="G151" s="21">
        <v>5</v>
      </c>
      <c r="H151" s="21">
        <v>5</v>
      </c>
      <c r="I151" s="21">
        <v>5</v>
      </c>
      <c r="J151" s="21">
        <v>5</v>
      </c>
      <c r="K151" s="21">
        <v>5</v>
      </c>
      <c r="L151" s="21" t="s">
        <v>680</v>
      </c>
      <c r="M151" s="21" t="s">
        <v>100</v>
      </c>
      <c r="N151" s="21" t="s">
        <v>1049</v>
      </c>
      <c r="O151" s="21" t="s">
        <v>1051</v>
      </c>
      <c r="P151" s="21" t="s">
        <v>19</v>
      </c>
      <c r="Q151" s="21" t="s">
        <v>31</v>
      </c>
      <c r="R151" s="21" t="s">
        <v>685</v>
      </c>
    </row>
    <row r="152" spans="1:18" x14ac:dyDescent="0.25">
      <c r="A152" s="20">
        <v>45763.055326319445</v>
      </c>
      <c r="B152" s="21" t="s">
        <v>849</v>
      </c>
      <c r="C152" s="21" t="s">
        <v>679</v>
      </c>
      <c r="D152" s="21" t="s">
        <v>1052</v>
      </c>
      <c r="E152" s="21">
        <v>5</v>
      </c>
      <c r="F152" s="21">
        <v>5</v>
      </c>
      <c r="G152" s="21">
        <v>5</v>
      </c>
      <c r="H152" s="21">
        <v>5</v>
      </c>
      <c r="I152" s="21">
        <v>5</v>
      </c>
      <c r="J152" s="21">
        <v>5</v>
      </c>
      <c r="K152" s="21">
        <v>5</v>
      </c>
      <c r="L152" s="21" t="s">
        <v>687</v>
      </c>
      <c r="M152" s="21" t="s">
        <v>100</v>
      </c>
      <c r="N152" s="21" t="s">
        <v>1053</v>
      </c>
      <c r="O152" s="21" t="s">
        <v>842</v>
      </c>
      <c r="P152" s="21" t="s">
        <v>19</v>
      </c>
      <c r="Q152" s="21" t="s">
        <v>22</v>
      </c>
      <c r="R152" s="21" t="s">
        <v>685</v>
      </c>
    </row>
    <row r="153" spans="1:18" x14ac:dyDescent="0.25">
      <c r="A153" s="20">
        <v>45763.384052708338</v>
      </c>
      <c r="B153" s="21" t="s">
        <v>849</v>
      </c>
      <c r="C153" s="21" t="s">
        <v>679</v>
      </c>
      <c r="D153" s="21" t="s">
        <v>1054</v>
      </c>
      <c r="E153" s="21">
        <v>5</v>
      </c>
      <c r="F153" s="21">
        <v>5</v>
      </c>
      <c r="G153" s="21">
        <v>5</v>
      </c>
      <c r="H153" s="21">
        <v>5</v>
      </c>
      <c r="I153" s="21">
        <v>4</v>
      </c>
      <c r="J153" s="21">
        <v>4</v>
      </c>
      <c r="K153" s="21">
        <v>4</v>
      </c>
      <c r="L153" s="21" t="s">
        <v>687</v>
      </c>
      <c r="M153" s="21" t="s">
        <v>681</v>
      </c>
      <c r="N153" s="21" t="s">
        <v>1055</v>
      </c>
      <c r="O153" s="21" t="s">
        <v>1056</v>
      </c>
      <c r="P153" s="21" t="s">
        <v>19</v>
      </c>
      <c r="Q153" s="21" t="s">
        <v>22</v>
      </c>
      <c r="R153" s="21" t="s">
        <v>685</v>
      </c>
    </row>
    <row r="154" spans="1:18" x14ac:dyDescent="0.25">
      <c r="A154" s="20">
        <v>45800.498225162039</v>
      </c>
      <c r="B154" s="21" t="s">
        <v>805</v>
      </c>
      <c r="C154" s="21" t="s">
        <v>679</v>
      </c>
      <c r="D154" s="21" t="s">
        <v>1057</v>
      </c>
      <c r="E154" s="21">
        <v>5</v>
      </c>
      <c r="F154" s="21">
        <v>5</v>
      </c>
      <c r="G154" s="21">
        <v>5</v>
      </c>
      <c r="H154" s="21">
        <v>5</v>
      </c>
      <c r="I154" s="21">
        <v>5</v>
      </c>
      <c r="J154" s="21">
        <v>5</v>
      </c>
      <c r="K154" s="21">
        <v>5</v>
      </c>
      <c r="L154" s="21" t="s">
        <v>680</v>
      </c>
      <c r="M154" s="21" t="s">
        <v>100</v>
      </c>
      <c r="N154" s="21" t="s">
        <v>1058</v>
      </c>
      <c r="O154" s="21" t="s">
        <v>268</v>
      </c>
      <c r="P154" s="21" t="s">
        <v>19</v>
      </c>
      <c r="Q154" s="21" t="s">
        <v>22</v>
      </c>
      <c r="R154" s="21" t="s">
        <v>685</v>
      </c>
    </row>
    <row r="155" spans="1:18" x14ac:dyDescent="0.25">
      <c r="A155" s="20">
        <v>45800.498336979166</v>
      </c>
      <c r="B155" s="21" t="s">
        <v>805</v>
      </c>
      <c r="C155" s="21" t="s">
        <v>679</v>
      </c>
      <c r="D155" s="21" t="s">
        <v>1059</v>
      </c>
      <c r="E155" s="21">
        <v>5</v>
      </c>
      <c r="F155" s="21">
        <v>5</v>
      </c>
      <c r="G155" s="21">
        <v>5</v>
      </c>
      <c r="H155" s="21">
        <v>5</v>
      </c>
      <c r="I155" s="21">
        <v>5</v>
      </c>
      <c r="J155" s="21">
        <v>5</v>
      </c>
      <c r="K155" s="21">
        <v>5</v>
      </c>
      <c r="L155" s="21" t="s">
        <v>680</v>
      </c>
      <c r="M155" s="21" t="s">
        <v>100</v>
      </c>
      <c r="N155" s="21" t="s">
        <v>1060</v>
      </c>
      <c r="O155" s="21" t="s">
        <v>1061</v>
      </c>
      <c r="P155" s="21" t="s">
        <v>19</v>
      </c>
      <c r="Q155" s="21" t="s">
        <v>22</v>
      </c>
      <c r="R155" s="21" t="s">
        <v>685</v>
      </c>
    </row>
    <row r="156" spans="1:18" x14ac:dyDescent="0.25">
      <c r="A156" s="22">
        <v>45800.500909247683</v>
      </c>
      <c r="B156" s="23" t="s">
        <v>805</v>
      </c>
      <c r="C156" s="23" t="s">
        <v>679</v>
      </c>
      <c r="D156" s="23" t="s">
        <v>1062</v>
      </c>
      <c r="E156" s="23">
        <v>5</v>
      </c>
      <c r="F156" s="23">
        <v>5</v>
      </c>
      <c r="G156" s="23">
        <v>5</v>
      </c>
      <c r="H156" s="23">
        <v>5</v>
      </c>
      <c r="I156" s="23">
        <v>5</v>
      </c>
      <c r="J156" s="23">
        <v>5</v>
      </c>
      <c r="K156" s="23">
        <v>5</v>
      </c>
      <c r="L156" s="23" t="s">
        <v>680</v>
      </c>
      <c r="M156" s="23" t="s">
        <v>100</v>
      </c>
      <c r="N156" s="23" t="s">
        <v>1063</v>
      </c>
      <c r="O156" s="23" t="s">
        <v>1064</v>
      </c>
      <c r="P156" s="23" t="s">
        <v>19</v>
      </c>
      <c r="Q156" s="23" t="s">
        <v>22</v>
      </c>
      <c r="R156" s="23" t="s">
        <v>685</v>
      </c>
    </row>
    <row r="157" spans="1:18" x14ac:dyDescent="0.25">
      <c r="A157" s="20">
        <v>45800.508544282406</v>
      </c>
      <c r="B157" s="21" t="s">
        <v>805</v>
      </c>
      <c r="C157" s="21" t="s">
        <v>679</v>
      </c>
      <c r="D157" s="21" t="s">
        <v>1065</v>
      </c>
      <c r="E157" s="21">
        <v>5</v>
      </c>
      <c r="F157" s="21">
        <v>5</v>
      </c>
      <c r="G157" s="21">
        <v>5</v>
      </c>
      <c r="H157" s="21">
        <v>5</v>
      </c>
      <c r="I157" s="21">
        <v>5</v>
      </c>
      <c r="J157" s="21">
        <v>5</v>
      </c>
      <c r="K157" s="21">
        <v>5</v>
      </c>
      <c r="L157" s="21" t="s">
        <v>687</v>
      </c>
      <c r="M157" s="21" t="s">
        <v>100</v>
      </c>
      <c r="N157" s="21" t="s">
        <v>1066</v>
      </c>
      <c r="O157" s="21" t="s">
        <v>1067</v>
      </c>
      <c r="P157" s="21" t="s">
        <v>19</v>
      </c>
      <c r="Q157" s="21" t="s">
        <v>22</v>
      </c>
      <c r="R157" s="21" t="s">
        <v>685</v>
      </c>
    </row>
    <row r="158" spans="1:18" x14ac:dyDescent="0.25">
      <c r="A158" s="20">
        <v>45800.541670312501</v>
      </c>
      <c r="B158" s="21" t="s">
        <v>805</v>
      </c>
      <c r="C158" s="21" t="s">
        <v>679</v>
      </c>
      <c r="D158" s="21" t="s">
        <v>1068</v>
      </c>
      <c r="E158" s="21">
        <v>5</v>
      </c>
      <c r="F158" s="21">
        <v>5</v>
      </c>
      <c r="G158" s="21">
        <v>5</v>
      </c>
      <c r="H158" s="21">
        <v>5</v>
      </c>
      <c r="I158" s="21">
        <v>5</v>
      </c>
      <c r="J158" s="21">
        <v>5</v>
      </c>
      <c r="K158" s="21">
        <v>4</v>
      </c>
      <c r="L158" s="21" t="s">
        <v>680</v>
      </c>
      <c r="M158" s="21" t="s">
        <v>100</v>
      </c>
      <c r="N158" s="21" t="s">
        <v>1069</v>
      </c>
      <c r="O158" s="21" t="s">
        <v>1070</v>
      </c>
      <c r="P158" s="21" t="s">
        <v>19</v>
      </c>
      <c r="Q158" s="21" t="s">
        <v>31</v>
      </c>
      <c r="R158" s="21" t="s">
        <v>685</v>
      </c>
    </row>
    <row r="159" spans="1:18" x14ac:dyDescent="0.25">
      <c r="A159" s="20">
        <v>45801.030665694445</v>
      </c>
      <c r="B159" s="21" t="s">
        <v>805</v>
      </c>
      <c r="C159" s="21" t="s">
        <v>679</v>
      </c>
      <c r="D159" s="21" t="s">
        <v>981</v>
      </c>
      <c r="E159" s="21">
        <v>4</v>
      </c>
      <c r="F159" s="21">
        <v>4</v>
      </c>
      <c r="G159" s="21">
        <v>5</v>
      </c>
      <c r="H159" s="21">
        <v>4</v>
      </c>
      <c r="I159" s="21">
        <v>4</v>
      </c>
      <c r="J159" s="21">
        <v>4</v>
      </c>
      <c r="K159" s="21">
        <v>5</v>
      </c>
      <c r="L159" s="21" t="s">
        <v>680</v>
      </c>
      <c r="M159" s="21" t="s">
        <v>681</v>
      </c>
      <c r="N159" s="21" t="s">
        <v>1071</v>
      </c>
      <c r="O159" s="21" t="s">
        <v>230</v>
      </c>
      <c r="P159" s="21" t="s">
        <v>19</v>
      </c>
      <c r="Q159" s="21" t="s">
        <v>31</v>
      </c>
      <c r="R159" s="21" t="s">
        <v>685</v>
      </c>
    </row>
    <row r="160" spans="1:18" x14ac:dyDescent="0.25">
      <c r="A160" s="20">
        <v>45801.045986979167</v>
      </c>
      <c r="B160" s="21" t="s">
        <v>805</v>
      </c>
      <c r="C160" s="21" t="s">
        <v>679</v>
      </c>
      <c r="D160" s="21" t="s">
        <v>1072</v>
      </c>
      <c r="E160" s="21">
        <v>5</v>
      </c>
      <c r="F160" s="21">
        <v>5</v>
      </c>
      <c r="G160" s="21">
        <v>5</v>
      </c>
      <c r="H160" s="21">
        <v>5</v>
      </c>
      <c r="I160" s="21">
        <v>5</v>
      </c>
      <c r="J160" s="21">
        <v>4</v>
      </c>
      <c r="K160" s="21">
        <v>5</v>
      </c>
      <c r="L160" s="21" t="s">
        <v>680</v>
      </c>
      <c r="M160" s="21" t="s">
        <v>100</v>
      </c>
      <c r="N160" s="21" t="s">
        <v>1073</v>
      </c>
      <c r="O160" s="21" t="s">
        <v>1074</v>
      </c>
      <c r="P160" s="21" t="s">
        <v>19</v>
      </c>
      <c r="Q160" s="21" t="s">
        <v>22</v>
      </c>
      <c r="R160" s="21" t="s">
        <v>685</v>
      </c>
    </row>
    <row r="161" spans="1:18" x14ac:dyDescent="0.25">
      <c r="A161" s="20">
        <v>45801.06032261574</v>
      </c>
      <c r="B161" s="21" t="s">
        <v>805</v>
      </c>
      <c r="C161" s="21" t="s">
        <v>679</v>
      </c>
      <c r="D161" s="21" t="s">
        <v>1075</v>
      </c>
      <c r="E161" s="21">
        <v>5</v>
      </c>
      <c r="F161" s="21">
        <v>5</v>
      </c>
      <c r="G161" s="21">
        <v>5</v>
      </c>
      <c r="H161" s="21">
        <v>5</v>
      </c>
      <c r="I161" s="21">
        <v>5</v>
      </c>
      <c r="J161" s="21">
        <v>5</v>
      </c>
      <c r="K161" s="21">
        <v>5</v>
      </c>
      <c r="L161" s="21" t="s">
        <v>680</v>
      </c>
      <c r="M161" s="21" t="s">
        <v>100</v>
      </c>
      <c r="N161" s="21" t="s">
        <v>1076</v>
      </c>
      <c r="O161" s="21" t="s">
        <v>1077</v>
      </c>
      <c r="P161" s="21" t="s">
        <v>19</v>
      </c>
      <c r="Q161" s="21" t="s">
        <v>22</v>
      </c>
      <c r="R161" s="21" t="s">
        <v>685</v>
      </c>
    </row>
    <row r="162" spans="1:18" x14ac:dyDescent="0.25">
      <c r="A162" s="20">
        <v>45801.188027951386</v>
      </c>
      <c r="B162" s="21" t="s">
        <v>805</v>
      </c>
      <c r="C162" s="21" t="s">
        <v>679</v>
      </c>
      <c r="D162" s="21" t="s">
        <v>1078</v>
      </c>
      <c r="E162" s="21">
        <v>2</v>
      </c>
      <c r="F162" s="21">
        <v>4</v>
      </c>
      <c r="G162" s="21">
        <v>1</v>
      </c>
      <c r="H162" s="21">
        <v>5</v>
      </c>
      <c r="I162" s="21">
        <v>2</v>
      </c>
      <c r="J162" s="21">
        <v>1</v>
      </c>
      <c r="K162" s="21">
        <v>4</v>
      </c>
      <c r="L162" s="21" t="s">
        <v>680</v>
      </c>
      <c r="M162" s="21" t="s">
        <v>681</v>
      </c>
      <c r="N162" s="21" t="s">
        <v>1079</v>
      </c>
      <c r="O162" s="21" t="s">
        <v>950</v>
      </c>
      <c r="P162" s="21" t="s">
        <v>19</v>
      </c>
      <c r="Q162" s="21" t="s">
        <v>22</v>
      </c>
      <c r="R162" s="21" t="s">
        <v>685</v>
      </c>
    </row>
    <row r="163" spans="1:18" x14ac:dyDescent="0.25">
      <c r="A163" s="20">
        <v>45801.191607824076</v>
      </c>
      <c r="B163" s="21" t="s">
        <v>805</v>
      </c>
      <c r="C163" s="21" t="s">
        <v>679</v>
      </c>
      <c r="D163" s="21" t="s">
        <v>1080</v>
      </c>
      <c r="E163" s="21">
        <v>5</v>
      </c>
      <c r="F163" s="21">
        <v>5</v>
      </c>
      <c r="G163" s="21">
        <v>5</v>
      </c>
      <c r="H163" s="21">
        <v>5</v>
      </c>
      <c r="I163" s="21">
        <v>5</v>
      </c>
      <c r="J163" s="21">
        <v>5</v>
      </c>
      <c r="K163" s="21">
        <v>5</v>
      </c>
      <c r="L163" s="21" t="s">
        <v>680</v>
      </c>
      <c r="M163" s="21" t="s">
        <v>100</v>
      </c>
      <c r="N163" s="21" t="s">
        <v>1081</v>
      </c>
      <c r="O163" s="21" t="s">
        <v>1082</v>
      </c>
      <c r="P163" s="21" t="s">
        <v>19</v>
      </c>
      <c r="Q163" s="21" t="s">
        <v>31</v>
      </c>
      <c r="R163" s="21" t="s">
        <v>685</v>
      </c>
    </row>
    <row r="164" spans="1:18" x14ac:dyDescent="0.25">
      <c r="A164" s="20">
        <v>45801.39584837963</v>
      </c>
      <c r="B164" s="21" t="s">
        <v>805</v>
      </c>
      <c r="C164" s="21" t="s">
        <v>703</v>
      </c>
      <c r="E164" s="21">
        <v>4</v>
      </c>
      <c r="F164" s="21">
        <v>4</v>
      </c>
      <c r="G164" s="21">
        <v>4</v>
      </c>
      <c r="H164" s="21">
        <v>4</v>
      </c>
      <c r="I164" s="21">
        <v>4</v>
      </c>
      <c r="J164" s="21">
        <v>4</v>
      </c>
      <c r="K164" s="21">
        <v>4</v>
      </c>
      <c r="L164" s="21" t="s">
        <v>680</v>
      </c>
      <c r="M164" s="21" t="s">
        <v>681</v>
      </c>
      <c r="N164" s="21" t="s">
        <v>1083</v>
      </c>
      <c r="O164" s="21" t="s">
        <v>1084</v>
      </c>
      <c r="P164" s="21" t="s">
        <v>19</v>
      </c>
      <c r="Q164" s="21" t="s">
        <v>22</v>
      </c>
      <c r="R164" s="21" t="s">
        <v>685</v>
      </c>
    </row>
    <row r="165" spans="1:18" x14ac:dyDescent="0.25">
      <c r="A165" s="20">
        <v>45801.556390613427</v>
      </c>
      <c r="B165" s="21" t="s">
        <v>805</v>
      </c>
      <c r="C165" s="21" t="s">
        <v>679</v>
      </c>
      <c r="D165" s="21" t="s">
        <v>1085</v>
      </c>
      <c r="E165" s="21">
        <v>1</v>
      </c>
      <c r="F165" s="21">
        <v>1</v>
      </c>
      <c r="G165" s="21">
        <v>1</v>
      </c>
      <c r="H165" s="21">
        <v>1</v>
      </c>
      <c r="I165" s="21">
        <v>1</v>
      </c>
      <c r="J165" s="21">
        <v>1</v>
      </c>
      <c r="K165" s="21">
        <v>1</v>
      </c>
      <c r="L165" s="21" t="s">
        <v>687</v>
      </c>
      <c r="M165" s="21" t="s">
        <v>100</v>
      </c>
      <c r="N165" s="21" t="s">
        <v>1086</v>
      </c>
      <c r="O165" s="21" t="s">
        <v>1087</v>
      </c>
      <c r="P165" s="21" t="s">
        <v>19</v>
      </c>
      <c r="Q165" s="21" t="s">
        <v>22</v>
      </c>
      <c r="R165" s="21" t="s">
        <v>685</v>
      </c>
    </row>
    <row r="166" spans="1:18" x14ac:dyDescent="0.25">
      <c r="A166" s="20">
        <v>45802.42519898148</v>
      </c>
      <c r="B166" s="21" t="s">
        <v>805</v>
      </c>
      <c r="C166" s="21" t="s">
        <v>679</v>
      </c>
      <c r="D166" s="21" t="s">
        <v>1088</v>
      </c>
      <c r="E166" s="21">
        <v>5</v>
      </c>
      <c r="F166" s="21">
        <v>5</v>
      </c>
      <c r="G166" s="21">
        <v>5</v>
      </c>
      <c r="H166" s="21">
        <v>5</v>
      </c>
      <c r="I166" s="21">
        <v>5</v>
      </c>
      <c r="J166" s="21">
        <v>5</v>
      </c>
      <c r="K166" s="21">
        <v>5</v>
      </c>
      <c r="L166" s="21" t="s">
        <v>687</v>
      </c>
      <c r="M166" s="21" t="s">
        <v>100</v>
      </c>
      <c r="N166" s="21" t="s">
        <v>1089</v>
      </c>
      <c r="O166" s="21" t="s">
        <v>1090</v>
      </c>
      <c r="P166" s="21" t="s">
        <v>19</v>
      </c>
      <c r="Q166" s="21" t="s">
        <v>31</v>
      </c>
      <c r="R166" s="21" t="s">
        <v>685</v>
      </c>
    </row>
    <row r="167" spans="1:18" x14ac:dyDescent="0.25">
      <c r="A167" s="20">
        <v>45802.509743217597</v>
      </c>
      <c r="B167" s="21" t="s">
        <v>805</v>
      </c>
      <c r="C167" s="21" t="s">
        <v>679</v>
      </c>
      <c r="D167" s="21" t="s">
        <v>1091</v>
      </c>
      <c r="E167" s="21">
        <v>5</v>
      </c>
      <c r="F167" s="21">
        <v>5</v>
      </c>
      <c r="G167" s="21">
        <v>5</v>
      </c>
      <c r="H167" s="21">
        <v>5</v>
      </c>
      <c r="I167" s="21">
        <v>5</v>
      </c>
      <c r="J167" s="21">
        <v>5</v>
      </c>
      <c r="K167" s="21">
        <v>5</v>
      </c>
      <c r="L167" s="21" t="s">
        <v>687</v>
      </c>
      <c r="M167" s="21" t="s">
        <v>100</v>
      </c>
      <c r="N167" s="21" t="s">
        <v>1092</v>
      </c>
      <c r="O167" s="21" t="s">
        <v>1045</v>
      </c>
      <c r="P167" s="21" t="s">
        <v>19</v>
      </c>
      <c r="Q167" s="21" t="s">
        <v>22</v>
      </c>
      <c r="R167" s="21" t="s">
        <v>685</v>
      </c>
    </row>
    <row r="168" spans="1:18" x14ac:dyDescent="0.25">
      <c r="A168" s="20">
        <v>45803.066027673616</v>
      </c>
      <c r="B168" s="21" t="s">
        <v>805</v>
      </c>
      <c r="C168" s="21" t="s">
        <v>679</v>
      </c>
      <c r="D168" s="21" t="s">
        <v>1093</v>
      </c>
      <c r="E168" s="21">
        <v>5</v>
      </c>
      <c r="F168" s="21">
        <v>5</v>
      </c>
      <c r="G168" s="21">
        <v>5</v>
      </c>
      <c r="H168" s="21">
        <v>5</v>
      </c>
      <c r="I168" s="21">
        <v>5</v>
      </c>
      <c r="J168" s="21">
        <v>5</v>
      </c>
      <c r="K168" s="21">
        <v>5</v>
      </c>
      <c r="L168" s="21" t="s">
        <v>687</v>
      </c>
      <c r="M168" s="21" t="s">
        <v>100</v>
      </c>
      <c r="N168" s="21" t="s">
        <v>1094</v>
      </c>
      <c r="O168" s="21" t="s">
        <v>950</v>
      </c>
      <c r="P168" s="21" t="s">
        <v>19</v>
      </c>
      <c r="Q168" s="21" t="s">
        <v>31</v>
      </c>
      <c r="R168" s="21" t="s">
        <v>685</v>
      </c>
    </row>
    <row r="169" spans="1:18" x14ac:dyDescent="0.25">
      <c r="A169" s="20">
        <v>45803.085284895831</v>
      </c>
      <c r="B169" s="21" t="s">
        <v>805</v>
      </c>
      <c r="C169" s="21" t="s">
        <v>679</v>
      </c>
      <c r="D169" s="21" t="s">
        <v>1095</v>
      </c>
      <c r="E169" s="21">
        <v>5</v>
      </c>
      <c r="F169" s="21">
        <v>5</v>
      </c>
      <c r="G169" s="21">
        <v>5</v>
      </c>
      <c r="H169" s="21">
        <v>5</v>
      </c>
      <c r="I169" s="21">
        <v>5</v>
      </c>
      <c r="J169" s="21">
        <v>4</v>
      </c>
      <c r="K169" s="21">
        <v>5</v>
      </c>
      <c r="L169" s="21" t="s">
        <v>687</v>
      </c>
      <c r="M169" s="21" t="s">
        <v>100</v>
      </c>
      <c r="N169" s="21" t="s">
        <v>1096</v>
      </c>
      <c r="O169" s="21" t="s">
        <v>1097</v>
      </c>
      <c r="P169" s="21" t="s">
        <v>19</v>
      </c>
      <c r="Q169" s="21" t="s">
        <v>22</v>
      </c>
      <c r="R169" s="21" t="s">
        <v>685</v>
      </c>
    </row>
    <row r="170" spans="1:18" x14ac:dyDescent="0.25">
      <c r="A170" s="20">
        <v>45806.008597187501</v>
      </c>
      <c r="B170" s="21" t="s">
        <v>805</v>
      </c>
      <c r="C170" s="21" t="s">
        <v>679</v>
      </c>
      <c r="D170" s="21" t="s">
        <v>1098</v>
      </c>
      <c r="E170" s="21">
        <v>5</v>
      </c>
      <c r="F170" s="21">
        <v>5</v>
      </c>
      <c r="G170" s="21">
        <v>5</v>
      </c>
      <c r="H170" s="21">
        <v>5</v>
      </c>
      <c r="I170" s="21">
        <v>4</v>
      </c>
      <c r="J170" s="21">
        <v>5</v>
      </c>
      <c r="K170" s="21">
        <v>5</v>
      </c>
      <c r="L170" s="21" t="s">
        <v>680</v>
      </c>
      <c r="M170" s="21" t="s">
        <v>100</v>
      </c>
      <c r="N170" s="21" t="s">
        <v>1099</v>
      </c>
      <c r="O170" s="21" t="s">
        <v>450</v>
      </c>
      <c r="P170" s="21" t="s">
        <v>19</v>
      </c>
      <c r="Q170" s="21" t="s">
        <v>22</v>
      </c>
      <c r="R170" s="21" t="s">
        <v>685</v>
      </c>
    </row>
    <row r="171" spans="1:18" x14ac:dyDescent="0.25">
      <c r="A171" s="20">
        <v>45807.465802673614</v>
      </c>
      <c r="B171" s="21" t="s">
        <v>849</v>
      </c>
      <c r="C171" s="21" t="s">
        <v>679</v>
      </c>
      <c r="D171" s="21" t="s">
        <v>1100</v>
      </c>
      <c r="E171" s="21">
        <v>5</v>
      </c>
      <c r="F171" s="21">
        <v>5</v>
      </c>
      <c r="G171" s="21">
        <v>5</v>
      </c>
      <c r="H171" s="21">
        <v>5</v>
      </c>
      <c r="I171" s="21">
        <v>5</v>
      </c>
      <c r="J171" s="21">
        <v>5</v>
      </c>
      <c r="K171" s="21">
        <v>5</v>
      </c>
      <c r="L171" s="21" t="s">
        <v>680</v>
      </c>
      <c r="M171" s="21" t="s">
        <v>100</v>
      </c>
      <c r="N171" s="21" t="s">
        <v>1101</v>
      </c>
      <c r="O171" s="21" t="s">
        <v>842</v>
      </c>
      <c r="P171" s="21" t="s">
        <v>19</v>
      </c>
      <c r="Q171" s="21" t="s">
        <v>22</v>
      </c>
      <c r="R171" s="21" t="s">
        <v>685</v>
      </c>
    </row>
    <row r="172" spans="1:18" x14ac:dyDescent="0.25">
      <c r="A172" s="20">
        <v>45807.469504814813</v>
      </c>
      <c r="B172" s="21" t="s">
        <v>805</v>
      </c>
      <c r="C172" s="21" t="s">
        <v>679</v>
      </c>
      <c r="E172" s="21">
        <v>5</v>
      </c>
      <c r="F172" s="21">
        <v>5</v>
      </c>
      <c r="G172" s="21">
        <v>5</v>
      </c>
      <c r="H172" s="21">
        <v>5</v>
      </c>
      <c r="I172" s="21">
        <v>5</v>
      </c>
      <c r="J172" s="21">
        <v>5</v>
      </c>
      <c r="K172" s="21">
        <v>5</v>
      </c>
      <c r="L172" s="21" t="s">
        <v>687</v>
      </c>
      <c r="M172" s="21" t="s">
        <v>100</v>
      </c>
      <c r="N172" s="21" t="s">
        <v>1102</v>
      </c>
      <c r="O172" s="21" t="s">
        <v>1103</v>
      </c>
      <c r="P172" s="21" t="s">
        <v>19</v>
      </c>
      <c r="Q172" s="21" t="s">
        <v>31</v>
      </c>
      <c r="R172" s="21" t="s">
        <v>685</v>
      </c>
    </row>
    <row r="173" spans="1:18" x14ac:dyDescent="0.25">
      <c r="A173" s="20">
        <v>45807.470261759256</v>
      </c>
      <c r="B173" s="21" t="s">
        <v>805</v>
      </c>
      <c r="C173" s="21" t="s">
        <v>679</v>
      </c>
      <c r="D173" s="21" t="s">
        <v>1104</v>
      </c>
      <c r="E173" s="21">
        <v>5</v>
      </c>
      <c r="F173" s="21">
        <v>5</v>
      </c>
      <c r="G173" s="21">
        <v>5</v>
      </c>
      <c r="H173" s="21">
        <v>5</v>
      </c>
      <c r="I173" s="21">
        <v>5</v>
      </c>
      <c r="J173" s="21">
        <v>5</v>
      </c>
      <c r="K173" s="21">
        <v>5</v>
      </c>
      <c r="L173" s="21" t="s">
        <v>680</v>
      </c>
      <c r="M173" s="21" t="s">
        <v>100</v>
      </c>
      <c r="N173" s="21" t="s">
        <v>1105</v>
      </c>
      <c r="O173" s="21" t="s">
        <v>1106</v>
      </c>
      <c r="P173" s="21" t="s">
        <v>19</v>
      </c>
      <c r="Q173" s="21" t="s">
        <v>22</v>
      </c>
      <c r="R173" s="21" t="s">
        <v>685</v>
      </c>
    </row>
    <row r="174" spans="1:18" x14ac:dyDescent="0.25">
      <c r="A174" s="20">
        <v>45807.470464537037</v>
      </c>
      <c r="B174" s="21" t="s">
        <v>805</v>
      </c>
      <c r="C174" s="21" t="s">
        <v>679</v>
      </c>
      <c r="D174" s="21" t="s">
        <v>1107</v>
      </c>
      <c r="E174" s="21">
        <v>5</v>
      </c>
      <c r="F174" s="21">
        <v>5</v>
      </c>
      <c r="G174" s="21">
        <v>5</v>
      </c>
      <c r="H174" s="21">
        <v>5</v>
      </c>
      <c r="I174" s="21">
        <v>5</v>
      </c>
      <c r="J174" s="21">
        <v>3</v>
      </c>
      <c r="K174" s="21">
        <v>5</v>
      </c>
      <c r="L174" s="21" t="s">
        <v>687</v>
      </c>
      <c r="M174" s="21" t="s">
        <v>100</v>
      </c>
      <c r="N174" s="21" t="s">
        <v>1108</v>
      </c>
      <c r="O174" s="21" t="s">
        <v>1109</v>
      </c>
      <c r="P174" s="21" t="s">
        <v>19</v>
      </c>
      <c r="Q174" s="21" t="s">
        <v>31</v>
      </c>
      <c r="R174" s="21" t="s">
        <v>685</v>
      </c>
    </row>
    <row r="175" spans="1:18" x14ac:dyDescent="0.25">
      <c r="A175" s="20">
        <v>45807.974158553239</v>
      </c>
      <c r="B175" s="21" t="s">
        <v>805</v>
      </c>
      <c r="C175" s="21" t="s">
        <v>679</v>
      </c>
      <c r="D175" s="21" t="s">
        <v>1110</v>
      </c>
      <c r="E175" s="21">
        <v>5</v>
      </c>
      <c r="F175" s="21">
        <v>4</v>
      </c>
      <c r="G175" s="21">
        <v>4</v>
      </c>
      <c r="H175" s="21">
        <v>5</v>
      </c>
      <c r="I175" s="21">
        <v>5</v>
      </c>
      <c r="J175" s="21">
        <v>4</v>
      </c>
      <c r="K175" s="21">
        <v>4</v>
      </c>
      <c r="L175" s="21" t="s">
        <v>687</v>
      </c>
      <c r="M175" s="21" t="s">
        <v>681</v>
      </c>
      <c r="N175" s="21" t="s">
        <v>1111</v>
      </c>
      <c r="O175" s="21" t="s">
        <v>1112</v>
      </c>
      <c r="P175" s="21" t="s">
        <v>19</v>
      </c>
      <c r="Q175" s="21" t="s">
        <v>22</v>
      </c>
      <c r="R175" s="21" t="s">
        <v>685</v>
      </c>
    </row>
    <row r="176" spans="1:18" x14ac:dyDescent="0.25">
      <c r="A176" s="20">
        <v>45807.977259814812</v>
      </c>
      <c r="B176" s="21" t="s">
        <v>678</v>
      </c>
      <c r="C176" s="21" t="s">
        <v>679</v>
      </c>
      <c r="D176" s="21" t="s">
        <v>1113</v>
      </c>
      <c r="E176" s="21">
        <v>4</v>
      </c>
      <c r="F176" s="21">
        <v>5</v>
      </c>
      <c r="G176" s="21">
        <v>4</v>
      </c>
      <c r="H176" s="21">
        <v>5</v>
      </c>
      <c r="I176" s="21">
        <v>4</v>
      </c>
      <c r="J176" s="21">
        <v>4</v>
      </c>
      <c r="K176" s="21">
        <v>4</v>
      </c>
      <c r="L176" s="21" t="s">
        <v>680</v>
      </c>
      <c r="M176" s="21" t="s">
        <v>681</v>
      </c>
      <c r="N176" s="21" t="s">
        <v>1114</v>
      </c>
      <c r="O176" s="21" t="s">
        <v>1115</v>
      </c>
      <c r="P176" s="21" t="s">
        <v>19</v>
      </c>
      <c r="Q176" s="21" t="s">
        <v>22</v>
      </c>
      <c r="R176" s="21" t="s">
        <v>685</v>
      </c>
    </row>
    <row r="177" spans="1:18" x14ac:dyDescent="0.25">
      <c r="A177" s="20">
        <v>45807.979573923614</v>
      </c>
      <c r="B177" s="21" t="s">
        <v>690</v>
      </c>
      <c r="C177" s="21" t="s">
        <v>679</v>
      </c>
      <c r="D177" s="21" t="s">
        <v>1116</v>
      </c>
      <c r="E177" s="21">
        <v>4</v>
      </c>
      <c r="F177" s="21">
        <v>4</v>
      </c>
      <c r="G177" s="21">
        <v>5</v>
      </c>
      <c r="H177" s="21">
        <v>5</v>
      </c>
      <c r="I177" s="21">
        <v>4</v>
      </c>
      <c r="J177" s="21">
        <v>4</v>
      </c>
      <c r="K177" s="21">
        <v>4</v>
      </c>
      <c r="L177" s="21" t="s">
        <v>687</v>
      </c>
      <c r="M177" s="21" t="s">
        <v>681</v>
      </c>
      <c r="N177" s="21" t="s">
        <v>1117</v>
      </c>
      <c r="O177" s="21" t="s">
        <v>1118</v>
      </c>
      <c r="P177" s="21" t="s">
        <v>19</v>
      </c>
      <c r="Q177" s="21" t="s">
        <v>22</v>
      </c>
      <c r="R177" s="21" t="s">
        <v>685</v>
      </c>
    </row>
    <row r="178" spans="1:18" x14ac:dyDescent="0.25">
      <c r="A178" s="20">
        <v>45807.983534270832</v>
      </c>
      <c r="B178" s="21" t="s">
        <v>678</v>
      </c>
      <c r="C178" s="21" t="s">
        <v>679</v>
      </c>
      <c r="D178" s="21" t="s">
        <v>1119</v>
      </c>
      <c r="E178" s="21">
        <v>5</v>
      </c>
      <c r="F178" s="21">
        <v>5</v>
      </c>
      <c r="G178" s="21">
        <v>5</v>
      </c>
      <c r="H178" s="21">
        <v>5</v>
      </c>
      <c r="I178" s="21">
        <v>5</v>
      </c>
      <c r="J178" s="21">
        <v>5</v>
      </c>
      <c r="K178" s="21">
        <v>5</v>
      </c>
      <c r="L178" s="21" t="s">
        <v>687</v>
      </c>
      <c r="M178" s="21" t="s">
        <v>100</v>
      </c>
      <c r="N178" s="21" t="s">
        <v>1120</v>
      </c>
      <c r="O178" s="21" t="s">
        <v>1121</v>
      </c>
      <c r="P178" s="21" t="s">
        <v>19</v>
      </c>
      <c r="Q178" s="21" t="s">
        <v>22</v>
      </c>
      <c r="R178" s="21" t="s">
        <v>685</v>
      </c>
    </row>
    <row r="179" spans="1:18" x14ac:dyDescent="0.25">
      <c r="A179" s="20">
        <v>45807.984527534718</v>
      </c>
      <c r="B179" s="21" t="s">
        <v>678</v>
      </c>
      <c r="C179" s="21" t="s">
        <v>679</v>
      </c>
      <c r="D179" s="21" t="s">
        <v>1122</v>
      </c>
      <c r="E179" s="21">
        <v>5</v>
      </c>
      <c r="F179" s="21">
        <v>4</v>
      </c>
      <c r="G179" s="21">
        <v>5</v>
      </c>
      <c r="H179" s="21">
        <v>5</v>
      </c>
      <c r="I179" s="21">
        <v>5</v>
      </c>
      <c r="J179" s="21">
        <v>4</v>
      </c>
      <c r="K179" s="21">
        <v>5</v>
      </c>
      <c r="L179" s="21" t="s">
        <v>680</v>
      </c>
      <c r="M179" s="21" t="s">
        <v>100</v>
      </c>
      <c r="N179" s="21" t="s">
        <v>1123</v>
      </c>
      <c r="O179" s="21" t="s">
        <v>1124</v>
      </c>
      <c r="P179" s="21" t="s">
        <v>19</v>
      </c>
      <c r="Q179" s="21" t="s">
        <v>22</v>
      </c>
      <c r="R179" s="21" t="s">
        <v>685</v>
      </c>
    </row>
    <row r="180" spans="1:18" x14ac:dyDescent="0.25">
      <c r="A180" s="20">
        <v>45807.987099178237</v>
      </c>
      <c r="B180" s="21" t="s">
        <v>690</v>
      </c>
      <c r="C180" s="21" t="s">
        <v>703</v>
      </c>
      <c r="D180" s="21" t="s">
        <v>1125</v>
      </c>
      <c r="E180" s="21">
        <v>5</v>
      </c>
      <c r="F180" s="21">
        <v>5</v>
      </c>
      <c r="G180" s="21">
        <v>5</v>
      </c>
      <c r="H180" s="21">
        <v>4</v>
      </c>
      <c r="I180" s="21">
        <v>5</v>
      </c>
      <c r="J180" s="21">
        <v>5</v>
      </c>
      <c r="K180" s="21">
        <v>5</v>
      </c>
      <c r="L180" s="21" t="s">
        <v>680</v>
      </c>
      <c r="M180" s="21" t="s">
        <v>100</v>
      </c>
      <c r="N180" s="21" t="s">
        <v>1126</v>
      </c>
      <c r="O180" s="21" t="s">
        <v>1127</v>
      </c>
      <c r="P180" s="21" t="s">
        <v>19</v>
      </c>
      <c r="Q180" s="21" t="s">
        <v>22</v>
      </c>
      <c r="R180" s="21" t="s">
        <v>685</v>
      </c>
    </row>
    <row r="181" spans="1:18" x14ac:dyDescent="0.25">
      <c r="A181" s="20">
        <v>45807.988203148147</v>
      </c>
      <c r="B181" s="21" t="s">
        <v>690</v>
      </c>
      <c r="C181" s="21" t="s">
        <v>679</v>
      </c>
      <c r="D181" s="21" t="s">
        <v>1128</v>
      </c>
      <c r="E181" s="21">
        <v>5</v>
      </c>
      <c r="F181" s="21">
        <v>5</v>
      </c>
      <c r="G181" s="21">
        <v>5</v>
      </c>
      <c r="H181" s="21">
        <v>5</v>
      </c>
      <c r="I181" s="21">
        <v>5</v>
      </c>
      <c r="J181" s="21">
        <v>5</v>
      </c>
      <c r="K181" s="21">
        <v>5</v>
      </c>
      <c r="L181" s="21" t="s">
        <v>687</v>
      </c>
      <c r="M181" s="21" t="s">
        <v>100</v>
      </c>
      <c r="N181" s="21" t="s">
        <v>1129</v>
      </c>
      <c r="O181" s="21" t="s">
        <v>1130</v>
      </c>
      <c r="P181" s="21" t="s">
        <v>19</v>
      </c>
      <c r="Q181" s="21" t="s">
        <v>22</v>
      </c>
      <c r="R181" s="21" t="s">
        <v>685</v>
      </c>
    </row>
    <row r="182" spans="1:18" x14ac:dyDescent="0.25">
      <c r="A182" s="20">
        <v>45808.013307719906</v>
      </c>
      <c r="B182" s="21" t="s">
        <v>678</v>
      </c>
      <c r="C182" s="21" t="s">
        <v>679</v>
      </c>
      <c r="D182" s="21" t="s">
        <v>1131</v>
      </c>
      <c r="E182" s="21">
        <v>1</v>
      </c>
      <c r="F182" s="21">
        <v>5</v>
      </c>
      <c r="G182" s="21">
        <v>5</v>
      </c>
      <c r="H182" s="21">
        <v>4</v>
      </c>
      <c r="I182" s="21">
        <v>4</v>
      </c>
      <c r="J182" s="21">
        <v>3</v>
      </c>
      <c r="K182" s="21">
        <v>1</v>
      </c>
      <c r="L182" s="21" t="s">
        <v>680</v>
      </c>
      <c r="M182" s="21" t="s">
        <v>681</v>
      </c>
      <c r="N182" s="21" t="s">
        <v>1132</v>
      </c>
      <c r="O182" s="21" t="s">
        <v>1133</v>
      </c>
      <c r="P182" s="21" t="s">
        <v>19</v>
      </c>
      <c r="Q182" s="21" t="s">
        <v>22</v>
      </c>
      <c r="R182" s="21" t="s">
        <v>685</v>
      </c>
    </row>
    <row r="183" spans="1:18" x14ac:dyDescent="0.25">
      <c r="A183" s="20">
        <v>45808.028716030094</v>
      </c>
      <c r="B183" s="21" t="s">
        <v>805</v>
      </c>
      <c r="C183" s="21" t="s">
        <v>679</v>
      </c>
      <c r="D183" s="21" t="s">
        <v>1134</v>
      </c>
      <c r="E183" s="21">
        <v>5</v>
      </c>
      <c r="F183" s="21">
        <v>5</v>
      </c>
      <c r="G183" s="21">
        <v>5</v>
      </c>
      <c r="H183" s="21">
        <v>5</v>
      </c>
      <c r="I183" s="21">
        <v>5</v>
      </c>
      <c r="J183" s="21">
        <v>5</v>
      </c>
      <c r="K183" s="21">
        <v>5</v>
      </c>
      <c r="L183" s="21" t="s">
        <v>680</v>
      </c>
      <c r="M183" s="21" t="s">
        <v>100</v>
      </c>
      <c r="N183" s="21" t="s">
        <v>1135</v>
      </c>
      <c r="O183" s="21" t="s">
        <v>1136</v>
      </c>
      <c r="P183" s="21" t="s">
        <v>19</v>
      </c>
      <c r="Q183" s="21" t="s">
        <v>22</v>
      </c>
      <c r="R183" s="21" t="s">
        <v>685</v>
      </c>
    </row>
    <row r="184" spans="1:18" x14ac:dyDescent="0.25">
      <c r="A184" s="20">
        <v>45808.030062453705</v>
      </c>
      <c r="B184" s="21" t="s">
        <v>678</v>
      </c>
      <c r="C184" s="21" t="s">
        <v>679</v>
      </c>
      <c r="D184" s="21" t="s">
        <v>1137</v>
      </c>
      <c r="E184" s="21">
        <v>5</v>
      </c>
      <c r="F184" s="21">
        <v>5</v>
      </c>
      <c r="G184" s="21">
        <v>5</v>
      </c>
      <c r="H184" s="21">
        <v>5</v>
      </c>
      <c r="I184" s="21">
        <v>5</v>
      </c>
      <c r="J184" s="21">
        <v>5</v>
      </c>
      <c r="K184" s="21">
        <v>5</v>
      </c>
      <c r="L184" s="21" t="s">
        <v>687</v>
      </c>
      <c r="M184" s="21" t="s">
        <v>100</v>
      </c>
      <c r="N184" s="21" t="s">
        <v>1138</v>
      </c>
      <c r="O184" s="21" t="s">
        <v>238</v>
      </c>
      <c r="P184" s="21" t="s">
        <v>19</v>
      </c>
      <c r="Q184" s="21" t="s">
        <v>31</v>
      </c>
      <c r="R184" s="21" t="s">
        <v>685</v>
      </c>
    </row>
    <row r="185" spans="1:18" x14ac:dyDescent="0.25">
      <c r="A185" s="20">
        <v>45808.031785381943</v>
      </c>
      <c r="B185" s="21" t="s">
        <v>690</v>
      </c>
      <c r="C185" s="21" t="s">
        <v>679</v>
      </c>
      <c r="D185" s="21" t="s">
        <v>1139</v>
      </c>
      <c r="E185" s="21">
        <v>5</v>
      </c>
      <c r="F185" s="21">
        <v>5</v>
      </c>
      <c r="G185" s="21">
        <v>5</v>
      </c>
      <c r="H185" s="21">
        <v>5</v>
      </c>
      <c r="I185" s="21">
        <v>5</v>
      </c>
      <c r="J185" s="21">
        <v>5</v>
      </c>
      <c r="K185" s="21">
        <v>5</v>
      </c>
      <c r="L185" s="21" t="s">
        <v>680</v>
      </c>
      <c r="M185" s="21" t="s">
        <v>100</v>
      </c>
      <c r="N185" s="21" t="s">
        <v>1140</v>
      </c>
      <c r="O185" s="21" t="s">
        <v>1141</v>
      </c>
      <c r="P185" s="21" t="s">
        <v>19</v>
      </c>
      <c r="Q185" s="21" t="s">
        <v>31</v>
      </c>
      <c r="R185" s="21" t="s">
        <v>685</v>
      </c>
    </row>
    <row r="186" spans="1:18" x14ac:dyDescent="0.25">
      <c r="A186" s="20">
        <v>45808.032579560182</v>
      </c>
      <c r="B186" s="21" t="s">
        <v>678</v>
      </c>
      <c r="C186" s="21" t="s">
        <v>679</v>
      </c>
      <c r="D186" s="21" t="s">
        <v>1142</v>
      </c>
      <c r="E186" s="21">
        <v>5</v>
      </c>
      <c r="F186" s="21">
        <v>5</v>
      </c>
      <c r="G186" s="21">
        <v>5</v>
      </c>
      <c r="H186" s="21">
        <v>5</v>
      </c>
      <c r="I186" s="21">
        <v>5</v>
      </c>
      <c r="J186" s="21">
        <v>5</v>
      </c>
      <c r="K186" s="21">
        <v>5</v>
      </c>
      <c r="L186" s="21" t="s">
        <v>680</v>
      </c>
      <c r="M186" s="21" t="s">
        <v>100</v>
      </c>
      <c r="N186" s="21" t="s">
        <v>1143</v>
      </c>
      <c r="O186" s="21" t="s">
        <v>1144</v>
      </c>
      <c r="P186" s="21" t="s">
        <v>19</v>
      </c>
      <c r="Q186" s="21" t="s">
        <v>22</v>
      </c>
      <c r="R186" s="21" t="s">
        <v>685</v>
      </c>
    </row>
    <row r="187" spans="1:18" x14ac:dyDescent="0.25">
      <c r="A187" s="20">
        <v>45808.033327685189</v>
      </c>
      <c r="B187" s="21" t="s">
        <v>678</v>
      </c>
      <c r="C187" s="21" t="s">
        <v>679</v>
      </c>
      <c r="D187" s="21" t="s">
        <v>1145</v>
      </c>
      <c r="E187" s="21">
        <v>2</v>
      </c>
      <c r="F187" s="21">
        <v>1</v>
      </c>
      <c r="G187" s="21">
        <v>1</v>
      </c>
      <c r="H187" s="21">
        <v>1</v>
      </c>
      <c r="I187" s="21">
        <v>1</v>
      </c>
      <c r="J187" s="21">
        <v>2</v>
      </c>
      <c r="K187" s="21">
        <v>1</v>
      </c>
      <c r="L187" s="21" t="s">
        <v>687</v>
      </c>
      <c r="M187" s="21" t="s">
        <v>681</v>
      </c>
      <c r="N187" s="21" t="s">
        <v>1146</v>
      </c>
      <c r="O187" s="21" t="s">
        <v>1147</v>
      </c>
      <c r="P187" s="21" t="s">
        <v>19</v>
      </c>
      <c r="Q187" s="21" t="s">
        <v>22</v>
      </c>
      <c r="R187" s="21" t="s">
        <v>685</v>
      </c>
    </row>
    <row r="188" spans="1:18" x14ac:dyDescent="0.25">
      <c r="A188" s="20">
        <v>45808.033345787037</v>
      </c>
      <c r="B188" s="21" t="s">
        <v>678</v>
      </c>
      <c r="C188" s="21" t="s">
        <v>679</v>
      </c>
      <c r="D188" s="21" t="s">
        <v>1148</v>
      </c>
      <c r="E188" s="21">
        <v>5</v>
      </c>
      <c r="F188" s="21">
        <v>5</v>
      </c>
      <c r="G188" s="21">
        <v>5</v>
      </c>
      <c r="H188" s="21">
        <v>5</v>
      </c>
      <c r="I188" s="21">
        <v>5</v>
      </c>
      <c r="J188" s="21">
        <v>5</v>
      </c>
      <c r="K188" s="21">
        <v>5</v>
      </c>
      <c r="L188" s="21" t="s">
        <v>680</v>
      </c>
      <c r="M188" s="21" t="s">
        <v>100</v>
      </c>
      <c r="N188" s="21" t="s">
        <v>1149</v>
      </c>
      <c r="O188" s="21" t="s">
        <v>1150</v>
      </c>
      <c r="P188" s="21" t="s">
        <v>19</v>
      </c>
      <c r="Q188" s="21" t="s">
        <v>22</v>
      </c>
      <c r="R188" s="21" t="s">
        <v>685</v>
      </c>
    </row>
    <row r="189" spans="1:18" x14ac:dyDescent="0.25">
      <c r="A189" s="20">
        <v>45808.033907037039</v>
      </c>
      <c r="B189" s="21" t="s">
        <v>690</v>
      </c>
      <c r="C189" s="21" t="s">
        <v>679</v>
      </c>
      <c r="D189" s="21" t="s">
        <v>1151</v>
      </c>
      <c r="E189" s="21">
        <v>4</v>
      </c>
      <c r="F189" s="21">
        <v>4</v>
      </c>
      <c r="G189" s="21">
        <v>4</v>
      </c>
      <c r="H189" s="21">
        <v>4</v>
      </c>
      <c r="I189" s="21">
        <v>4</v>
      </c>
      <c r="J189" s="21">
        <v>3</v>
      </c>
      <c r="K189" s="21">
        <v>4</v>
      </c>
      <c r="L189" s="21" t="s">
        <v>687</v>
      </c>
      <c r="M189" s="21" t="s">
        <v>681</v>
      </c>
      <c r="N189" s="21" t="s">
        <v>1152</v>
      </c>
      <c r="O189" s="21" t="s">
        <v>1153</v>
      </c>
      <c r="P189" s="21" t="s">
        <v>19</v>
      </c>
      <c r="Q189" s="21" t="s">
        <v>31</v>
      </c>
      <c r="R189" s="21" t="s">
        <v>685</v>
      </c>
    </row>
    <row r="190" spans="1:18" x14ac:dyDescent="0.25">
      <c r="A190" s="20">
        <v>45808.035407546296</v>
      </c>
      <c r="B190" s="21" t="s">
        <v>690</v>
      </c>
      <c r="C190" s="21" t="s">
        <v>679</v>
      </c>
      <c r="D190" s="21" t="s">
        <v>1154</v>
      </c>
      <c r="E190" s="21">
        <v>4</v>
      </c>
      <c r="F190" s="21">
        <v>5</v>
      </c>
      <c r="G190" s="21">
        <v>5</v>
      </c>
      <c r="H190" s="21">
        <v>5</v>
      </c>
      <c r="I190" s="21">
        <v>5</v>
      </c>
      <c r="J190" s="21">
        <v>5</v>
      </c>
      <c r="K190" s="21">
        <v>5</v>
      </c>
      <c r="L190" s="21" t="s">
        <v>680</v>
      </c>
      <c r="M190" s="21" t="s">
        <v>681</v>
      </c>
      <c r="N190" s="21" t="s">
        <v>820</v>
      </c>
      <c r="O190" s="21" t="s">
        <v>1155</v>
      </c>
      <c r="P190" s="21" t="s">
        <v>19</v>
      </c>
      <c r="Q190" s="21" t="s">
        <v>22</v>
      </c>
      <c r="R190" s="21" t="s">
        <v>685</v>
      </c>
    </row>
    <row r="191" spans="1:18" x14ac:dyDescent="0.25">
      <c r="A191" s="20">
        <v>45808.036468946761</v>
      </c>
      <c r="B191" s="21" t="s">
        <v>690</v>
      </c>
      <c r="C191" s="21" t="s">
        <v>679</v>
      </c>
      <c r="D191" s="21" t="s">
        <v>1156</v>
      </c>
      <c r="E191" s="21">
        <v>5</v>
      </c>
      <c r="F191" s="21">
        <v>5</v>
      </c>
      <c r="G191" s="21">
        <v>5</v>
      </c>
      <c r="H191" s="21">
        <v>5</v>
      </c>
      <c r="I191" s="21">
        <v>5</v>
      </c>
      <c r="J191" s="21">
        <v>5</v>
      </c>
      <c r="K191" s="21">
        <v>5</v>
      </c>
      <c r="L191" s="21" t="s">
        <v>680</v>
      </c>
      <c r="N191" s="21" t="s">
        <v>1157</v>
      </c>
      <c r="O191" s="21" t="s">
        <v>1158</v>
      </c>
      <c r="P191" s="21" t="s">
        <v>19</v>
      </c>
      <c r="Q191" s="21" t="s">
        <v>22</v>
      </c>
      <c r="R191" s="21" t="s">
        <v>685</v>
      </c>
    </row>
    <row r="192" spans="1:18" x14ac:dyDescent="0.25">
      <c r="A192" s="20">
        <v>45808.037222627318</v>
      </c>
      <c r="B192" s="21" t="s">
        <v>690</v>
      </c>
      <c r="C192" s="21" t="s">
        <v>679</v>
      </c>
      <c r="D192" s="21" t="s">
        <v>1159</v>
      </c>
      <c r="E192" s="21">
        <v>5</v>
      </c>
      <c r="F192" s="21">
        <v>5</v>
      </c>
      <c r="G192" s="21">
        <v>5</v>
      </c>
      <c r="H192" s="21">
        <v>5</v>
      </c>
      <c r="I192" s="21">
        <v>5</v>
      </c>
      <c r="J192" s="21">
        <v>5</v>
      </c>
      <c r="K192" s="21">
        <v>5</v>
      </c>
      <c r="L192" s="21" t="s">
        <v>680</v>
      </c>
      <c r="M192" s="21" t="s">
        <v>100</v>
      </c>
      <c r="N192" s="21" t="s">
        <v>1160</v>
      </c>
      <c r="O192" s="21" t="s">
        <v>1161</v>
      </c>
      <c r="P192" s="21" t="s">
        <v>19</v>
      </c>
      <c r="Q192" s="21" t="s">
        <v>22</v>
      </c>
      <c r="R192" s="21" t="s">
        <v>685</v>
      </c>
    </row>
    <row r="193" spans="1:18" x14ac:dyDescent="0.25">
      <c r="A193" s="20">
        <v>45808.04507555555</v>
      </c>
      <c r="B193" s="21" t="s">
        <v>678</v>
      </c>
      <c r="C193" s="21" t="s">
        <v>679</v>
      </c>
      <c r="D193" s="21" t="s">
        <v>1162</v>
      </c>
      <c r="E193" s="21">
        <v>5</v>
      </c>
      <c r="F193" s="21">
        <v>5</v>
      </c>
      <c r="G193" s="21">
        <v>5</v>
      </c>
      <c r="H193" s="21">
        <v>5</v>
      </c>
      <c r="I193" s="21">
        <v>5</v>
      </c>
      <c r="J193" s="21">
        <v>5</v>
      </c>
      <c r="K193" s="21">
        <v>5</v>
      </c>
      <c r="L193" s="21" t="s">
        <v>687</v>
      </c>
      <c r="M193" s="21" t="s">
        <v>100</v>
      </c>
      <c r="N193" s="21" t="s">
        <v>1163</v>
      </c>
      <c r="O193" s="21" t="s">
        <v>238</v>
      </c>
      <c r="P193" s="21" t="s">
        <v>19</v>
      </c>
      <c r="Q193" s="21" t="s">
        <v>22</v>
      </c>
      <c r="R193" s="21" t="s">
        <v>685</v>
      </c>
    </row>
    <row r="194" spans="1:18" x14ac:dyDescent="0.25">
      <c r="A194" s="20">
        <v>45808.046540937503</v>
      </c>
      <c r="B194" s="21" t="s">
        <v>678</v>
      </c>
      <c r="C194" s="21" t="s">
        <v>679</v>
      </c>
      <c r="D194" s="21" t="s">
        <v>1164</v>
      </c>
      <c r="E194" s="21">
        <v>4</v>
      </c>
      <c r="F194" s="21">
        <v>4</v>
      </c>
      <c r="G194" s="21">
        <v>5</v>
      </c>
      <c r="H194" s="21">
        <v>4</v>
      </c>
      <c r="I194" s="21">
        <v>4</v>
      </c>
      <c r="J194" s="21">
        <v>4</v>
      </c>
      <c r="K194" s="21">
        <v>4</v>
      </c>
      <c r="L194" s="21" t="s">
        <v>687</v>
      </c>
      <c r="M194" s="21" t="s">
        <v>100</v>
      </c>
      <c r="N194" s="21" t="s">
        <v>1165</v>
      </c>
      <c r="O194" s="21" t="s">
        <v>238</v>
      </c>
      <c r="P194" s="21" t="s">
        <v>19</v>
      </c>
      <c r="Q194" s="21" t="s">
        <v>22</v>
      </c>
      <c r="R194" s="21" t="s">
        <v>685</v>
      </c>
    </row>
    <row r="195" spans="1:18" x14ac:dyDescent="0.25">
      <c r="A195" s="20">
        <v>45808.049330439811</v>
      </c>
      <c r="B195" s="21" t="s">
        <v>678</v>
      </c>
      <c r="C195" s="21" t="s">
        <v>679</v>
      </c>
      <c r="D195" s="21" t="s">
        <v>1166</v>
      </c>
      <c r="E195" s="21">
        <v>5</v>
      </c>
      <c r="F195" s="21">
        <v>5</v>
      </c>
      <c r="G195" s="21">
        <v>5</v>
      </c>
      <c r="H195" s="21">
        <v>5</v>
      </c>
      <c r="I195" s="21">
        <v>5</v>
      </c>
      <c r="J195" s="21">
        <v>5</v>
      </c>
      <c r="K195" s="21">
        <v>5</v>
      </c>
      <c r="L195" s="21" t="s">
        <v>687</v>
      </c>
      <c r="M195" s="21" t="s">
        <v>100</v>
      </c>
      <c r="N195" s="21" t="s">
        <v>1167</v>
      </c>
      <c r="O195" s="21" t="s">
        <v>1168</v>
      </c>
      <c r="P195" s="21" t="s">
        <v>19</v>
      </c>
      <c r="Q195" s="21" t="s">
        <v>31</v>
      </c>
      <c r="R195" s="21" t="s">
        <v>685</v>
      </c>
    </row>
    <row r="196" spans="1:18" x14ac:dyDescent="0.25">
      <c r="A196" s="20">
        <v>45808.05033106482</v>
      </c>
      <c r="B196" s="21" t="s">
        <v>690</v>
      </c>
      <c r="C196" s="21" t="s">
        <v>679</v>
      </c>
      <c r="D196" s="21" t="s">
        <v>1169</v>
      </c>
      <c r="E196" s="21">
        <v>5</v>
      </c>
      <c r="F196" s="21">
        <v>5</v>
      </c>
      <c r="G196" s="21">
        <v>5</v>
      </c>
      <c r="H196" s="21">
        <v>5</v>
      </c>
      <c r="I196" s="21">
        <v>5</v>
      </c>
      <c r="J196" s="21">
        <v>5</v>
      </c>
      <c r="K196" s="21">
        <v>5</v>
      </c>
      <c r="L196" s="21" t="s">
        <v>687</v>
      </c>
      <c r="M196" s="21" t="s">
        <v>100</v>
      </c>
      <c r="N196" s="21" t="s">
        <v>1170</v>
      </c>
      <c r="O196" s="21" t="s">
        <v>238</v>
      </c>
      <c r="P196" s="21" t="s">
        <v>19</v>
      </c>
      <c r="Q196" s="21" t="s">
        <v>22</v>
      </c>
      <c r="R196" s="21" t="s">
        <v>685</v>
      </c>
    </row>
    <row r="197" spans="1:18" x14ac:dyDescent="0.25">
      <c r="A197" s="20">
        <v>45808.051703495366</v>
      </c>
      <c r="B197" s="21" t="s">
        <v>690</v>
      </c>
      <c r="C197" s="21" t="s">
        <v>679</v>
      </c>
      <c r="D197" s="21" t="s">
        <v>1171</v>
      </c>
      <c r="E197" s="21">
        <v>5</v>
      </c>
      <c r="F197" s="21">
        <v>5</v>
      </c>
      <c r="G197" s="21">
        <v>5</v>
      </c>
      <c r="H197" s="21">
        <v>5</v>
      </c>
      <c r="I197" s="21">
        <v>5</v>
      </c>
      <c r="J197" s="21">
        <v>5</v>
      </c>
      <c r="K197" s="21">
        <v>5</v>
      </c>
      <c r="L197" s="21" t="s">
        <v>687</v>
      </c>
      <c r="M197" s="21" t="s">
        <v>100</v>
      </c>
      <c r="N197" s="21" t="s">
        <v>1172</v>
      </c>
      <c r="O197" s="21" t="s">
        <v>230</v>
      </c>
      <c r="P197" s="21" t="s">
        <v>19</v>
      </c>
      <c r="Q197" s="21" t="s">
        <v>31</v>
      </c>
      <c r="R197" s="21" t="s">
        <v>685</v>
      </c>
    </row>
    <row r="198" spans="1:18" x14ac:dyDescent="0.25">
      <c r="A198" s="20">
        <v>45808.052646631942</v>
      </c>
      <c r="B198" s="21" t="s">
        <v>678</v>
      </c>
      <c r="C198" s="21" t="s">
        <v>679</v>
      </c>
      <c r="D198" s="21" t="s">
        <v>1173</v>
      </c>
      <c r="E198" s="21">
        <v>5</v>
      </c>
      <c r="F198" s="21">
        <v>5</v>
      </c>
      <c r="G198" s="21">
        <v>5</v>
      </c>
      <c r="H198" s="21">
        <v>5</v>
      </c>
      <c r="I198" s="21">
        <v>5</v>
      </c>
      <c r="J198" s="21">
        <v>5</v>
      </c>
      <c r="K198" s="21">
        <v>5</v>
      </c>
      <c r="L198" s="21" t="s">
        <v>680</v>
      </c>
      <c r="M198" s="21" t="s">
        <v>100</v>
      </c>
      <c r="N198" s="21" t="s">
        <v>1174</v>
      </c>
      <c r="O198" s="21" t="s">
        <v>1061</v>
      </c>
      <c r="P198" s="21" t="s">
        <v>19</v>
      </c>
      <c r="Q198" s="21" t="s">
        <v>22</v>
      </c>
      <c r="R198" s="21" t="s">
        <v>685</v>
      </c>
    </row>
    <row r="199" spans="1:18" x14ac:dyDescent="0.25">
      <c r="A199" s="20">
        <v>45808.052988912037</v>
      </c>
      <c r="B199" s="21" t="s">
        <v>678</v>
      </c>
      <c r="C199" s="21" t="s">
        <v>679</v>
      </c>
      <c r="D199" s="21" t="s">
        <v>1175</v>
      </c>
      <c r="E199" s="21">
        <v>5</v>
      </c>
      <c r="F199" s="21">
        <v>5</v>
      </c>
      <c r="G199" s="21">
        <v>5</v>
      </c>
      <c r="H199" s="21">
        <v>5</v>
      </c>
      <c r="I199" s="21">
        <v>5</v>
      </c>
      <c r="J199" s="21">
        <v>5</v>
      </c>
      <c r="K199" s="21">
        <v>5</v>
      </c>
      <c r="L199" s="21" t="s">
        <v>680</v>
      </c>
      <c r="M199" s="21" t="s">
        <v>100</v>
      </c>
      <c r="N199" s="21" t="s">
        <v>1176</v>
      </c>
      <c r="O199" s="21" t="s">
        <v>238</v>
      </c>
      <c r="P199" s="21" t="s">
        <v>19</v>
      </c>
      <c r="Q199" s="21" t="s">
        <v>22</v>
      </c>
      <c r="R199" s="21" t="s">
        <v>685</v>
      </c>
    </row>
    <row r="200" spans="1:18" x14ac:dyDescent="0.25">
      <c r="A200" s="20">
        <v>45808.054134918981</v>
      </c>
      <c r="B200" s="21" t="s">
        <v>690</v>
      </c>
      <c r="C200" s="21" t="s">
        <v>679</v>
      </c>
      <c r="D200" s="21" t="s">
        <v>1177</v>
      </c>
      <c r="E200" s="21">
        <v>5</v>
      </c>
      <c r="F200" s="21">
        <v>5</v>
      </c>
      <c r="G200" s="21">
        <v>5</v>
      </c>
      <c r="H200" s="21">
        <v>5</v>
      </c>
      <c r="I200" s="21">
        <v>5</v>
      </c>
      <c r="J200" s="21">
        <v>5</v>
      </c>
      <c r="K200" s="21">
        <v>5</v>
      </c>
      <c r="L200" s="21" t="s">
        <v>680</v>
      </c>
      <c r="M200" s="21" t="s">
        <v>100</v>
      </c>
      <c r="N200" s="21" t="s">
        <v>1178</v>
      </c>
      <c r="O200" s="21" t="s">
        <v>1179</v>
      </c>
      <c r="P200" s="21" t="s">
        <v>19</v>
      </c>
      <c r="Q200" s="21" t="s">
        <v>22</v>
      </c>
      <c r="R200" s="21" t="s">
        <v>685</v>
      </c>
    </row>
    <row r="201" spans="1:18" x14ac:dyDescent="0.25">
      <c r="A201" s="20">
        <v>45808.066996898153</v>
      </c>
      <c r="B201" s="21" t="s">
        <v>678</v>
      </c>
      <c r="C201" s="21" t="s">
        <v>679</v>
      </c>
      <c r="D201" s="21" t="s">
        <v>1180</v>
      </c>
      <c r="E201" s="21">
        <v>5</v>
      </c>
      <c r="F201" s="21">
        <v>4</v>
      </c>
      <c r="G201" s="21">
        <v>5</v>
      </c>
      <c r="H201" s="21">
        <v>5</v>
      </c>
      <c r="I201" s="21">
        <v>5</v>
      </c>
      <c r="J201" s="21">
        <v>4</v>
      </c>
      <c r="K201" s="21">
        <v>5</v>
      </c>
      <c r="L201" s="21" t="s">
        <v>680</v>
      </c>
      <c r="M201" s="21" t="s">
        <v>681</v>
      </c>
      <c r="N201" s="21" t="s">
        <v>1181</v>
      </c>
      <c r="O201" s="21" t="s">
        <v>1182</v>
      </c>
      <c r="P201" s="21" t="s">
        <v>19</v>
      </c>
      <c r="Q201" s="21" t="s">
        <v>31</v>
      </c>
      <c r="R201" s="21" t="s">
        <v>1183</v>
      </c>
    </row>
    <row r="202" spans="1:18" x14ac:dyDescent="0.25">
      <c r="A202" s="20">
        <v>45808.080191851855</v>
      </c>
      <c r="B202" s="21" t="s">
        <v>678</v>
      </c>
      <c r="C202" s="21" t="s">
        <v>679</v>
      </c>
      <c r="D202" s="21" t="s">
        <v>1184</v>
      </c>
      <c r="E202" s="21">
        <v>5</v>
      </c>
      <c r="F202" s="21">
        <v>5</v>
      </c>
      <c r="G202" s="21">
        <v>5</v>
      </c>
      <c r="H202" s="21">
        <v>5</v>
      </c>
      <c r="I202" s="21">
        <v>4</v>
      </c>
      <c r="J202" s="21">
        <v>5</v>
      </c>
      <c r="K202" s="21">
        <v>5</v>
      </c>
      <c r="L202" s="21" t="s">
        <v>680</v>
      </c>
      <c r="M202" s="21" t="s">
        <v>100</v>
      </c>
      <c r="N202" s="21" t="s">
        <v>1185</v>
      </c>
      <c r="O202" s="21" t="s">
        <v>1186</v>
      </c>
      <c r="P202" s="21" t="s">
        <v>19</v>
      </c>
      <c r="Q202" s="21" t="s">
        <v>22</v>
      </c>
      <c r="R202" s="21" t="s">
        <v>685</v>
      </c>
    </row>
    <row r="203" spans="1:18" x14ac:dyDescent="0.25">
      <c r="A203" s="20">
        <v>45808.081197430554</v>
      </c>
      <c r="B203" s="21" t="s">
        <v>805</v>
      </c>
      <c r="C203" s="21" t="s">
        <v>679</v>
      </c>
      <c r="D203" s="21" t="s">
        <v>1187</v>
      </c>
      <c r="E203" s="21">
        <v>5</v>
      </c>
      <c r="F203" s="21">
        <v>5</v>
      </c>
      <c r="G203" s="21">
        <v>4</v>
      </c>
      <c r="H203" s="21">
        <v>5</v>
      </c>
      <c r="I203" s="21">
        <v>5</v>
      </c>
      <c r="J203" s="21">
        <v>4</v>
      </c>
      <c r="K203" s="21">
        <v>4</v>
      </c>
      <c r="L203" s="21" t="s">
        <v>680</v>
      </c>
      <c r="M203" s="21" t="s">
        <v>681</v>
      </c>
      <c r="N203" s="21" t="s">
        <v>1188</v>
      </c>
      <c r="O203" s="21" t="s">
        <v>1189</v>
      </c>
      <c r="P203" s="21" t="s">
        <v>19</v>
      </c>
      <c r="Q203" s="21" t="s">
        <v>31</v>
      </c>
      <c r="R203" s="21" t="s">
        <v>685</v>
      </c>
    </row>
    <row r="204" spans="1:18" x14ac:dyDescent="0.25">
      <c r="A204" s="20">
        <v>45808.086611145831</v>
      </c>
      <c r="B204" s="21" t="s">
        <v>690</v>
      </c>
      <c r="C204" s="21" t="s">
        <v>679</v>
      </c>
      <c r="D204" s="21" t="s">
        <v>1190</v>
      </c>
      <c r="E204" s="21">
        <v>4</v>
      </c>
      <c r="F204" s="21">
        <v>4</v>
      </c>
      <c r="G204" s="21">
        <v>4</v>
      </c>
      <c r="H204" s="21">
        <v>4</v>
      </c>
      <c r="I204" s="21">
        <v>4</v>
      </c>
      <c r="J204" s="21">
        <v>4</v>
      </c>
      <c r="K204" s="21">
        <v>4</v>
      </c>
      <c r="L204" s="21" t="s">
        <v>687</v>
      </c>
      <c r="M204" s="21" t="s">
        <v>681</v>
      </c>
      <c r="N204" s="21" t="s">
        <v>1191</v>
      </c>
      <c r="O204" s="21" t="s">
        <v>238</v>
      </c>
      <c r="P204" s="21" t="s">
        <v>19</v>
      </c>
      <c r="Q204" s="21" t="s">
        <v>22</v>
      </c>
      <c r="R204" s="21" t="s">
        <v>1183</v>
      </c>
    </row>
    <row r="205" spans="1:18" x14ac:dyDescent="0.25">
      <c r="A205" s="20">
        <v>45808.092708252312</v>
      </c>
      <c r="B205" s="21" t="s">
        <v>678</v>
      </c>
      <c r="C205" s="21" t="s">
        <v>679</v>
      </c>
      <c r="D205" s="21" t="s">
        <v>1192</v>
      </c>
      <c r="E205" s="21">
        <v>4</v>
      </c>
      <c r="F205" s="21">
        <v>5</v>
      </c>
      <c r="G205" s="21">
        <v>4</v>
      </c>
      <c r="H205" s="21">
        <v>4</v>
      </c>
      <c r="I205" s="21">
        <v>4</v>
      </c>
      <c r="J205" s="21">
        <v>4</v>
      </c>
      <c r="K205" s="21">
        <v>5</v>
      </c>
      <c r="L205" s="21" t="s">
        <v>680</v>
      </c>
      <c r="M205" s="21" t="s">
        <v>681</v>
      </c>
      <c r="N205" s="21" t="s">
        <v>1193</v>
      </c>
      <c r="O205" s="21" t="s">
        <v>1194</v>
      </c>
      <c r="P205" s="21" t="s">
        <v>19</v>
      </c>
      <c r="Q205" s="21" t="s">
        <v>31</v>
      </c>
      <c r="R205" s="21" t="s">
        <v>685</v>
      </c>
    </row>
    <row r="206" spans="1:18" x14ac:dyDescent="0.25">
      <c r="A206" s="20">
        <v>45808.094112916668</v>
      </c>
      <c r="B206" s="21" t="s">
        <v>678</v>
      </c>
      <c r="C206" s="21" t="s">
        <v>679</v>
      </c>
      <c r="D206" s="21" t="s">
        <v>1195</v>
      </c>
      <c r="E206" s="21">
        <v>5</v>
      </c>
      <c r="F206" s="21">
        <v>5</v>
      </c>
      <c r="G206" s="21">
        <v>5</v>
      </c>
      <c r="H206" s="21">
        <v>5</v>
      </c>
      <c r="I206" s="21">
        <v>5</v>
      </c>
      <c r="J206" s="21">
        <v>5</v>
      </c>
      <c r="K206" s="21">
        <v>5</v>
      </c>
      <c r="L206" s="21" t="s">
        <v>680</v>
      </c>
      <c r="M206" s="21" t="s">
        <v>100</v>
      </c>
      <c r="N206" s="21" t="s">
        <v>1196</v>
      </c>
      <c r="O206" s="21" t="s">
        <v>498</v>
      </c>
      <c r="P206" s="21" t="s">
        <v>19</v>
      </c>
      <c r="Q206" s="21" t="s">
        <v>22</v>
      </c>
      <c r="R206" s="21" t="s">
        <v>685</v>
      </c>
    </row>
    <row r="207" spans="1:18" x14ac:dyDescent="0.25">
      <c r="A207" s="20">
        <v>45808.099547557867</v>
      </c>
      <c r="B207" s="21" t="s">
        <v>690</v>
      </c>
      <c r="C207" s="21" t="s">
        <v>679</v>
      </c>
      <c r="D207" s="21" t="s">
        <v>1197</v>
      </c>
      <c r="E207" s="21">
        <v>5</v>
      </c>
      <c r="F207" s="21">
        <v>5</v>
      </c>
      <c r="G207" s="21">
        <v>5</v>
      </c>
      <c r="H207" s="21">
        <v>5</v>
      </c>
      <c r="I207" s="21">
        <v>5</v>
      </c>
      <c r="J207" s="21">
        <v>5</v>
      </c>
      <c r="K207" s="21">
        <v>5</v>
      </c>
      <c r="L207" s="21" t="s">
        <v>680</v>
      </c>
      <c r="M207" s="21" t="s">
        <v>100</v>
      </c>
      <c r="N207" s="21" t="s">
        <v>1198</v>
      </c>
      <c r="O207" s="21" t="s">
        <v>1199</v>
      </c>
      <c r="P207" s="21" t="s">
        <v>19</v>
      </c>
      <c r="Q207" s="21" t="s">
        <v>22</v>
      </c>
      <c r="R207" s="21" t="s">
        <v>685</v>
      </c>
    </row>
    <row r="208" spans="1:18" x14ac:dyDescent="0.25">
      <c r="A208" s="20">
        <v>45808.121476817134</v>
      </c>
      <c r="B208" s="21" t="s">
        <v>678</v>
      </c>
      <c r="C208" s="21" t="s">
        <v>679</v>
      </c>
      <c r="D208" s="21" t="s">
        <v>1200</v>
      </c>
      <c r="E208" s="21">
        <v>1</v>
      </c>
      <c r="F208" s="21">
        <v>2</v>
      </c>
      <c r="G208" s="21">
        <v>1</v>
      </c>
      <c r="H208" s="21">
        <v>1</v>
      </c>
      <c r="I208" s="21">
        <v>1</v>
      </c>
      <c r="J208" s="21">
        <v>2</v>
      </c>
      <c r="K208" s="21">
        <v>1</v>
      </c>
      <c r="L208" s="21" t="s">
        <v>680</v>
      </c>
      <c r="M208" s="21" t="s">
        <v>100</v>
      </c>
      <c r="N208" s="21" t="s">
        <v>1201</v>
      </c>
      <c r="O208" s="21" t="s">
        <v>1202</v>
      </c>
      <c r="P208" s="21" t="s">
        <v>19</v>
      </c>
      <c r="Q208" s="21" t="s">
        <v>22</v>
      </c>
      <c r="R208" s="21" t="s">
        <v>685</v>
      </c>
    </row>
    <row r="209" spans="1:18" x14ac:dyDescent="0.25">
      <c r="A209" s="20">
        <v>45808.133458645832</v>
      </c>
      <c r="B209" s="21" t="s">
        <v>690</v>
      </c>
      <c r="C209" s="21" t="s">
        <v>679</v>
      </c>
      <c r="D209" s="21" t="s">
        <v>1203</v>
      </c>
      <c r="E209" s="21">
        <v>1</v>
      </c>
      <c r="F209" s="21">
        <v>1</v>
      </c>
      <c r="G209" s="21">
        <v>2</v>
      </c>
      <c r="H209" s="21">
        <v>2</v>
      </c>
      <c r="I209" s="21">
        <v>1</v>
      </c>
      <c r="J209" s="21">
        <v>2</v>
      </c>
      <c r="K209" s="21">
        <v>1</v>
      </c>
      <c r="L209" s="21" t="s">
        <v>680</v>
      </c>
      <c r="M209" s="21" t="s">
        <v>100</v>
      </c>
      <c r="N209" s="21" t="s">
        <v>1204</v>
      </c>
      <c r="O209" s="21" t="s">
        <v>1205</v>
      </c>
      <c r="P209" s="21" t="s">
        <v>19</v>
      </c>
      <c r="Q209" s="21" t="s">
        <v>22</v>
      </c>
      <c r="R209" s="21" t="s">
        <v>685</v>
      </c>
    </row>
    <row r="210" spans="1:18" x14ac:dyDescent="0.25">
      <c r="A210" s="20">
        <v>45808.146245324075</v>
      </c>
      <c r="B210" s="21" t="s">
        <v>678</v>
      </c>
      <c r="C210" s="21" t="s">
        <v>679</v>
      </c>
      <c r="D210" s="21" t="s">
        <v>1206</v>
      </c>
      <c r="E210" s="21">
        <v>5</v>
      </c>
      <c r="F210" s="21">
        <v>5</v>
      </c>
      <c r="G210" s="21">
        <v>4</v>
      </c>
      <c r="H210" s="21">
        <v>5</v>
      </c>
      <c r="I210" s="21">
        <v>5</v>
      </c>
      <c r="J210" s="21">
        <v>4</v>
      </c>
      <c r="K210" s="21">
        <v>4</v>
      </c>
      <c r="L210" s="21" t="s">
        <v>687</v>
      </c>
      <c r="M210" s="21" t="s">
        <v>681</v>
      </c>
      <c r="N210" s="21" t="s">
        <v>1207</v>
      </c>
      <c r="O210" s="21" t="s">
        <v>238</v>
      </c>
      <c r="P210" s="21" t="s">
        <v>19</v>
      </c>
      <c r="Q210" s="21" t="s">
        <v>31</v>
      </c>
      <c r="R210" s="21" t="s">
        <v>685</v>
      </c>
    </row>
    <row r="211" spans="1:18" x14ac:dyDescent="0.25">
      <c r="A211" s="20">
        <v>45808.147819502316</v>
      </c>
      <c r="B211" s="21" t="s">
        <v>690</v>
      </c>
      <c r="C211" s="21" t="s">
        <v>679</v>
      </c>
      <c r="D211" s="21" t="s">
        <v>1208</v>
      </c>
      <c r="E211" s="21">
        <v>5</v>
      </c>
      <c r="F211" s="21">
        <v>4</v>
      </c>
      <c r="G211" s="21">
        <v>5</v>
      </c>
      <c r="H211" s="21">
        <v>4</v>
      </c>
      <c r="I211" s="21">
        <v>5</v>
      </c>
      <c r="J211" s="21">
        <v>4</v>
      </c>
      <c r="K211" s="21">
        <v>3</v>
      </c>
      <c r="L211" s="21" t="s">
        <v>743</v>
      </c>
      <c r="M211" s="21" t="s">
        <v>681</v>
      </c>
      <c r="N211" s="21" t="s">
        <v>1207</v>
      </c>
      <c r="O211" s="21" t="s">
        <v>1209</v>
      </c>
      <c r="P211" s="21" t="s">
        <v>19</v>
      </c>
      <c r="Q211" s="21" t="s">
        <v>31</v>
      </c>
      <c r="R211" s="21" t="s">
        <v>685</v>
      </c>
    </row>
    <row r="212" spans="1:18" x14ac:dyDescent="0.25">
      <c r="A212" s="20">
        <v>45808.15269667824</v>
      </c>
      <c r="B212" s="21" t="s">
        <v>678</v>
      </c>
      <c r="C212" s="21" t="s">
        <v>679</v>
      </c>
      <c r="D212" s="21" t="s">
        <v>1144</v>
      </c>
      <c r="E212" s="21">
        <v>5</v>
      </c>
      <c r="F212" s="21">
        <v>5</v>
      </c>
      <c r="G212" s="21">
        <v>5</v>
      </c>
      <c r="H212" s="21">
        <v>5</v>
      </c>
      <c r="I212" s="21">
        <v>5</v>
      </c>
      <c r="J212" s="21">
        <v>3</v>
      </c>
      <c r="K212" s="21">
        <v>5</v>
      </c>
      <c r="L212" s="21" t="s">
        <v>680</v>
      </c>
      <c r="M212" s="21" t="s">
        <v>100</v>
      </c>
      <c r="N212" s="21" t="s">
        <v>1210</v>
      </c>
      <c r="O212" s="21" t="s">
        <v>1211</v>
      </c>
      <c r="P212" s="21" t="s">
        <v>19</v>
      </c>
      <c r="Q212" s="21" t="s">
        <v>31</v>
      </c>
      <c r="R212" s="21" t="s">
        <v>685</v>
      </c>
    </row>
    <row r="213" spans="1:18" x14ac:dyDescent="0.25">
      <c r="A213" s="20">
        <v>45808.15503263889</v>
      </c>
      <c r="B213" s="21" t="s">
        <v>690</v>
      </c>
      <c r="C213" s="21" t="s">
        <v>679</v>
      </c>
      <c r="D213" s="21" t="s">
        <v>1144</v>
      </c>
      <c r="E213" s="21">
        <v>5</v>
      </c>
      <c r="F213" s="21">
        <v>5</v>
      </c>
      <c r="G213" s="21">
        <v>5</v>
      </c>
      <c r="H213" s="21">
        <v>5</v>
      </c>
      <c r="I213" s="21">
        <v>5</v>
      </c>
      <c r="J213" s="21">
        <v>5</v>
      </c>
      <c r="K213" s="21">
        <v>5</v>
      </c>
      <c r="L213" s="21" t="s">
        <v>680</v>
      </c>
      <c r="M213" s="21" t="s">
        <v>100</v>
      </c>
      <c r="N213" s="21" t="s">
        <v>1212</v>
      </c>
      <c r="O213" s="21" t="s">
        <v>1211</v>
      </c>
      <c r="P213" s="21" t="s">
        <v>19</v>
      </c>
      <c r="Q213" s="21" t="s">
        <v>31</v>
      </c>
      <c r="R213" s="21" t="s">
        <v>685</v>
      </c>
    </row>
    <row r="214" spans="1:18" x14ac:dyDescent="0.25">
      <c r="A214" s="20">
        <v>45808.162834999996</v>
      </c>
      <c r="B214" s="21" t="s">
        <v>690</v>
      </c>
      <c r="C214" s="21" t="s">
        <v>703</v>
      </c>
      <c r="D214" s="21" t="s">
        <v>1213</v>
      </c>
      <c r="E214" s="21">
        <v>5</v>
      </c>
      <c r="F214" s="21">
        <v>4</v>
      </c>
      <c r="G214" s="21">
        <v>4</v>
      </c>
      <c r="H214" s="21">
        <v>4</v>
      </c>
      <c r="I214" s="21">
        <v>5</v>
      </c>
      <c r="J214" s="21">
        <v>4</v>
      </c>
      <c r="K214" s="21">
        <v>4</v>
      </c>
      <c r="L214" s="21" t="s">
        <v>743</v>
      </c>
      <c r="M214" s="21" t="s">
        <v>681</v>
      </c>
      <c r="N214" s="21" t="s">
        <v>1214</v>
      </c>
      <c r="O214" s="21" t="s">
        <v>1215</v>
      </c>
      <c r="P214" s="21" t="s">
        <v>19</v>
      </c>
      <c r="Q214" s="21" t="s">
        <v>31</v>
      </c>
      <c r="R214" s="21" t="s">
        <v>685</v>
      </c>
    </row>
    <row r="215" spans="1:18" x14ac:dyDescent="0.25">
      <c r="A215" s="20">
        <v>45808.171820555552</v>
      </c>
      <c r="B215" s="21" t="s">
        <v>678</v>
      </c>
      <c r="C215" s="21" t="s">
        <v>679</v>
      </c>
      <c r="D215" s="21" t="s">
        <v>1216</v>
      </c>
      <c r="E215" s="21">
        <v>5</v>
      </c>
      <c r="F215" s="21">
        <v>5</v>
      </c>
      <c r="G215" s="21">
        <v>5</v>
      </c>
      <c r="H215" s="21">
        <v>5</v>
      </c>
      <c r="I215" s="21">
        <v>5</v>
      </c>
      <c r="J215" s="21">
        <v>5</v>
      </c>
      <c r="K215" s="21">
        <v>5</v>
      </c>
      <c r="L215" s="21" t="s">
        <v>687</v>
      </c>
      <c r="M215" s="21" t="s">
        <v>681</v>
      </c>
      <c r="N215" s="21" t="s">
        <v>1217</v>
      </c>
      <c r="O215" s="21" t="s">
        <v>1218</v>
      </c>
      <c r="P215" s="21" t="s">
        <v>19</v>
      </c>
      <c r="Q215" s="21" t="s">
        <v>22</v>
      </c>
      <c r="R215" s="21" t="s">
        <v>685</v>
      </c>
    </row>
    <row r="216" spans="1:18" x14ac:dyDescent="0.25">
      <c r="A216" s="20">
        <v>45808.176355185184</v>
      </c>
      <c r="B216" s="21" t="s">
        <v>678</v>
      </c>
      <c r="C216" s="21" t="s">
        <v>679</v>
      </c>
      <c r="D216" s="21" t="s">
        <v>1219</v>
      </c>
      <c r="E216" s="21">
        <v>5</v>
      </c>
      <c r="F216" s="21">
        <v>5</v>
      </c>
      <c r="G216" s="21">
        <v>5</v>
      </c>
      <c r="H216" s="21">
        <v>5</v>
      </c>
      <c r="I216" s="21">
        <v>5</v>
      </c>
      <c r="J216" s="21">
        <v>5</v>
      </c>
      <c r="K216" s="21">
        <v>5</v>
      </c>
      <c r="L216" s="21" t="s">
        <v>687</v>
      </c>
      <c r="M216" s="21" t="s">
        <v>100</v>
      </c>
      <c r="N216" s="21" t="s">
        <v>1220</v>
      </c>
      <c r="O216" s="21" t="s">
        <v>1221</v>
      </c>
      <c r="P216" s="21" t="s">
        <v>19</v>
      </c>
      <c r="Q216" s="21" t="s">
        <v>22</v>
      </c>
      <c r="R216" s="21" t="s">
        <v>685</v>
      </c>
    </row>
    <row r="217" spans="1:18" x14ac:dyDescent="0.25">
      <c r="A217" s="20">
        <v>45808.178164733792</v>
      </c>
      <c r="B217" s="21" t="s">
        <v>690</v>
      </c>
      <c r="C217" s="21" t="s">
        <v>679</v>
      </c>
      <c r="D217" s="21" t="s">
        <v>1222</v>
      </c>
      <c r="E217" s="21">
        <v>5</v>
      </c>
      <c r="F217" s="21">
        <v>5</v>
      </c>
      <c r="G217" s="21">
        <v>5</v>
      </c>
      <c r="H217" s="21">
        <v>5</v>
      </c>
      <c r="I217" s="21">
        <v>5</v>
      </c>
      <c r="J217" s="21">
        <v>5</v>
      </c>
      <c r="K217" s="21">
        <v>5</v>
      </c>
      <c r="L217" s="21" t="s">
        <v>680</v>
      </c>
      <c r="M217" s="21" t="s">
        <v>681</v>
      </c>
      <c r="N217" s="21" t="s">
        <v>1223</v>
      </c>
      <c r="O217" s="21" t="s">
        <v>1224</v>
      </c>
      <c r="P217" s="21" t="s">
        <v>19</v>
      </c>
      <c r="Q217" s="21" t="s">
        <v>31</v>
      </c>
      <c r="R217" s="21" t="s">
        <v>685</v>
      </c>
    </row>
    <row r="218" spans="1:18" x14ac:dyDescent="0.25">
      <c r="A218" s="20">
        <v>45808.185229178242</v>
      </c>
      <c r="B218" s="21" t="s">
        <v>678</v>
      </c>
      <c r="C218" s="21" t="s">
        <v>679</v>
      </c>
      <c r="D218" s="21" t="s">
        <v>1007</v>
      </c>
      <c r="E218" s="21">
        <v>5</v>
      </c>
      <c r="F218" s="21">
        <v>5</v>
      </c>
      <c r="G218" s="21">
        <v>5</v>
      </c>
      <c r="H218" s="21">
        <v>5</v>
      </c>
      <c r="I218" s="21">
        <v>5</v>
      </c>
      <c r="J218" s="21">
        <v>4</v>
      </c>
      <c r="K218" s="21">
        <v>4</v>
      </c>
      <c r="L218" s="21" t="s">
        <v>680</v>
      </c>
      <c r="M218" s="21" t="s">
        <v>681</v>
      </c>
      <c r="N218" s="21" t="s">
        <v>1225</v>
      </c>
      <c r="O218" s="21" t="s">
        <v>1226</v>
      </c>
      <c r="P218" s="21" t="s">
        <v>19</v>
      </c>
      <c r="Q218" s="21" t="s">
        <v>31</v>
      </c>
      <c r="R218" s="21" t="s">
        <v>685</v>
      </c>
    </row>
    <row r="219" spans="1:18" x14ac:dyDescent="0.25">
      <c r="A219" s="20">
        <v>45808.186791296292</v>
      </c>
      <c r="B219" s="21" t="s">
        <v>678</v>
      </c>
      <c r="C219" s="21" t="s">
        <v>679</v>
      </c>
      <c r="D219" s="21" t="s">
        <v>981</v>
      </c>
      <c r="E219" s="21">
        <v>4</v>
      </c>
      <c r="F219" s="21">
        <v>4</v>
      </c>
      <c r="G219" s="21">
        <v>4</v>
      </c>
      <c r="H219" s="21">
        <v>4</v>
      </c>
      <c r="I219" s="21">
        <v>4</v>
      </c>
      <c r="J219" s="21">
        <v>4</v>
      </c>
      <c r="K219" s="21">
        <v>4</v>
      </c>
      <c r="L219" s="21" t="s">
        <v>680</v>
      </c>
      <c r="M219" s="21" t="s">
        <v>681</v>
      </c>
      <c r="N219" s="21" t="s">
        <v>1227</v>
      </c>
      <c r="O219" s="21" t="s">
        <v>1228</v>
      </c>
      <c r="P219" s="21" t="s">
        <v>19</v>
      </c>
      <c r="Q219" s="21" t="s">
        <v>31</v>
      </c>
      <c r="R219" s="21" t="s">
        <v>685</v>
      </c>
    </row>
    <row r="220" spans="1:18" x14ac:dyDescent="0.25">
      <c r="A220" s="20">
        <v>45808.198919826391</v>
      </c>
      <c r="B220" s="21" t="s">
        <v>678</v>
      </c>
      <c r="C220" s="21" t="s">
        <v>703</v>
      </c>
      <c r="D220" s="21" t="s">
        <v>1229</v>
      </c>
      <c r="E220" s="21">
        <v>4</v>
      </c>
      <c r="F220" s="21">
        <v>5</v>
      </c>
      <c r="G220" s="21">
        <v>4</v>
      </c>
      <c r="H220" s="21">
        <v>5</v>
      </c>
      <c r="I220" s="21">
        <v>5</v>
      </c>
      <c r="J220" s="21">
        <v>4</v>
      </c>
      <c r="K220" s="21">
        <v>4</v>
      </c>
      <c r="L220" s="21" t="s">
        <v>680</v>
      </c>
      <c r="M220" s="21" t="s">
        <v>681</v>
      </c>
      <c r="N220" s="21" t="s">
        <v>1230</v>
      </c>
      <c r="O220" s="21" t="s">
        <v>498</v>
      </c>
      <c r="P220" s="21" t="s">
        <v>19</v>
      </c>
      <c r="Q220" s="21" t="s">
        <v>31</v>
      </c>
      <c r="R220" s="21" t="s">
        <v>685</v>
      </c>
    </row>
    <row r="221" spans="1:18" x14ac:dyDescent="0.25">
      <c r="A221" s="20">
        <v>45808.200274131945</v>
      </c>
      <c r="B221" s="21" t="s">
        <v>690</v>
      </c>
      <c r="C221" s="21" t="s">
        <v>679</v>
      </c>
      <c r="D221" s="21" t="s">
        <v>1231</v>
      </c>
      <c r="E221" s="21">
        <v>4</v>
      </c>
      <c r="F221" s="21">
        <v>4</v>
      </c>
      <c r="G221" s="21">
        <v>4</v>
      </c>
      <c r="H221" s="21">
        <v>4</v>
      </c>
      <c r="I221" s="21">
        <v>4</v>
      </c>
      <c r="J221" s="21">
        <v>4</v>
      </c>
      <c r="K221" s="21">
        <v>5</v>
      </c>
      <c r="L221" s="21" t="s">
        <v>680</v>
      </c>
      <c r="M221" s="21" t="s">
        <v>681</v>
      </c>
      <c r="N221" s="21" t="s">
        <v>1232</v>
      </c>
      <c r="O221" s="21" t="s">
        <v>238</v>
      </c>
      <c r="P221" s="21" t="s">
        <v>19</v>
      </c>
      <c r="Q221" s="21" t="s">
        <v>31</v>
      </c>
      <c r="R221" s="21" t="s">
        <v>685</v>
      </c>
    </row>
    <row r="222" spans="1:18" x14ac:dyDescent="0.25">
      <c r="A222" s="20">
        <v>45808.219051064814</v>
      </c>
      <c r="B222" s="21" t="s">
        <v>690</v>
      </c>
      <c r="C222" s="21" t="s">
        <v>679</v>
      </c>
      <c r="D222" s="21" t="s">
        <v>1233</v>
      </c>
      <c r="E222" s="21">
        <v>5</v>
      </c>
      <c r="F222" s="21">
        <v>5</v>
      </c>
      <c r="G222" s="21">
        <v>5</v>
      </c>
      <c r="H222" s="21">
        <v>5</v>
      </c>
      <c r="I222" s="21">
        <v>5</v>
      </c>
      <c r="J222" s="21">
        <v>5</v>
      </c>
      <c r="K222" s="21">
        <v>5</v>
      </c>
      <c r="L222" s="21" t="s">
        <v>680</v>
      </c>
      <c r="M222" s="21" t="s">
        <v>100</v>
      </c>
      <c r="N222" s="21" t="s">
        <v>1234</v>
      </c>
      <c r="O222" s="21" t="s">
        <v>238</v>
      </c>
      <c r="P222" s="21" t="s">
        <v>19</v>
      </c>
      <c r="Q222" s="21" t="s">
        <v>22</v>
      </c>
      <c r="R222" s="21" t="s">
        <v>685</v>
      </c>
    </row>
    <row r="223" spans="1:18" x14ac:dyDescent="0.25">
      <c r="A223" s="20">
        <v>45808.22350393518</v>
      </c>
      <c r="B223" s="21" t="s">
        <v>690</v>
      </c>
      <c r="C223" s="21" t="s">
        <v>679</v>
      </c>
      <c r="D223" s="21" t="s">
        <v>1235</v>
      </c>
      <c r="E223" s="21">
        <v>5</v>
      </c>
      <c r="F223" s="21">
        <v>4</v>
      </c>
      <c r="G223" s="21">
        <v>5</v>
      </c>
      <c r="H223" s="21">
        <v>5</v>
      </c>
      <c r="I223" s="21">
        <v>5</v>
      </c>
      <c r="J223" s="21">
        <v>4</v>
      </c>
      <c r="K223" s="21">
        <v>5</v>
      </c>
      <c r="L223" s="21" t="s">
        <v>680</v>
      </c>
      <c r="M223" s="21" t="s">
        <v>100</v>
      </c>
      <c r="N223" s="21" t="s">
        <v>1236</v>
      </c>
      <c r="O223" s="21" t="s">
        <v>1237</v>
      </c>
      <c r="P223" s="21" t="s">
        <v>19</v>
      </c>
      <c r="Q223" s="21" t="s">
        <v>22</v>
      </c>
      <c r="R223" s="21" t="s">
        <v>685</v>
      </c>
    </row>
    <row r="224" spans="1:18" x14ac:dyDescent="0.25">
      <c r="A224" s="20">
        <v>45808.22693373842</v>
      </c>
      <c r="B224" s="21" t="s">
        <v>805</v>
      </c>
      <c r="C224" s="21" t="s">
        <v>679</v>
      </c>
      <c r="D224" s="21" t="s">
        <v>1238</v>
      </c>
      <c r="E224" s="21">
        <v>5</v>
      </c>
      <c r="F224" s="21">
        <v>5</v>
      </c>
      <c r="G224" s="21">
        <v>5</v>
      </c>
      <c r="H224" s="21">
        <v>5</v>
      </c>
      <c r="I224" s="21">
        <v>4</v>
      </c>
      <c r="J224" s="21">
        <v>5</v>
      </c>
      <c r="K224" s="21">
        <v>5</v>
      </c>
      <c r="L224" s="21" t="s">
        <v>687</v>
      </c>
      <c r="M224" s="21" t="s">
        <v>100</v>
      </c>
      <c r="N224" s="21" t="s">
        <v>1239</v>
      </c>
      <c r="O224" s="21" t="s">
        <v>1240</v>
      </c>
      <c r="P224" s="21" t="s">
        <v>19</v>
      </c>
      <c r="Q224" s="21" t="s">
        <v>22</v>
      </c>
      <c r="R224" s="21" t="s">
        <v>685</v>
      </c>
    </row>
    <row r="225" spans="1:18" x14ac:dyDescent="0.25">
      <c r="A225" s="20">
        <v>45808.518363391202</v>
      </c>
      <c r="B225" s="21" t="s">
        <v>690</v>
      </c>
      <c r="C225" s="21" t="s">
        <v>703</v>
      </c>
      <c r="D225" s="21" t="s">
        <v>1241</v>
      </c>
      <c r="E225" s="21">
        <v>5</v>
      </c>
      <c r="F225" s="21">
        <v>5</v>
      </c>
      <c r="G225" s="21">
        <v>5</v>
      </c>
      <c r="H225" s="21">
        <v>5</v>
      </c>
      <c r="I225" s="21">
        <v>5</v>
      </c>
      <c r="J225" s="21">
        <v>3</v>
      </c>
      <c r="K225" s="21">
        <v>5</v>
      </c>
      <c r="L225" s="21" t="s">
        <v>680</v>
      </c>
      <c r="M225" s="21" t="s">
        <v>681</v>
      </c>
      <c r="N225" s="21" t="s">
        <v>1242</v>
      </c>
      <c r="O225" s="21" t="s">
        <v>1243</v>
      </c>
      <c r="P225" s="21" t="s">
        <v>19</v>
      </c>
      <c r="Q225" s="21" t="s">
        <v>31</v>
      </c>
      <c r="R225" s="21" t="s">
        <v>685</v>
      </c>
    </row>
    <row r="226" spans="1:18" x14ac:dyDescent="0.25">
      <c r="A226" s="20">
        <v>45808.519870324075</v>
      </c>
      <c r="B226" s="21" t="s">
        <v>690</v>
      </c>
      <c r="C226" s="21" t="s">
        <v>703</v>
      </c>
      <c r="D226" s="21" t="s">
        <v>981</v>
      </c>
      <c r="E226" s="21">
        <v>4</v>
      </c>
      <c r="F226" s="21">
        <v>4</v>
      </c>
      <c r="G226" s="21">
        <v>4</v>
      </c>
      <c r="H226" s="21">
        <v>4</v>
      </c>
      <c r="I226" s="21">
        <v>4</v>
      </c>
      <c r="J226" s="21">
        <v>3</v>
      </c>
      <c r="K226" s="21">
        <v>4</v>
      </c>
      <c r="L226" s="21" t="s">
        <v>680</v>
      </c>
      <c r="M226" s="21" t="s">
        <v>681</v>
      </c>
      <c r="N226" s="21" t="s">
        <v>1244</v>
      </c>
      <c r="O226" s="21" t="s">
        <v>1245</v>
      </c>
      <c r="P226" s="21" t="s">
        <v>19</v>
      </c>
      <c r="Q226" s="21" t="s">
        <v>31</v>
      </c>
      <c r="R226" s="21" t="s">
        <v>685</v>
      </c>
    </row>
    <row r="227" spans="1:18" x14ac:dyDescent="0.25">
      <c r="A227" s="20">
        <v>45808.66654878472</v>
      </c>
      <c r="B227" s="21" t="s">
        <v>678</v>
      </c>
      <c r="C227" s="21" t="s">
        <v>679</v>
      </c>
      <c r="D227" s="21" t="s">
        <v>1246</v>
      </c>
      <c r="E227" s="21">
        <v>5</v>
      </c>
      <c r="F227" s="21">
        <v>5</v>
      </c>
      <c r="G227" s="21">
        <v>5</v>
      </c>
      <c r="H227" s="21">
        <v>5</v>
      </c>
      <c r="I227" s="21">
        <v>5</v>
      </c>
      <c r="J227" s="21">
        <v>5</v>
      </c>
      <c r="K227" s="21">
        <v>5</v>
      </c>
      <c r="L227" s="21" t="s">
        <v>680</v>
      </c>
      <c r="M227" s="21" t="s">
        <v>100</v>
      </c>
      <c r="N227" s="21" t="s">
        <v>1246</v>
      </c>
      <c r="O227" s="21" t="s">
        <v>842</v>
      </c>
      <c r="P227" s="21" t="s">
        <v>19</v>
      </c>
      <c r="Q227" s="21" t="s">
        <v>22</v>
      </c>
      <c r="R227" s="21" t="s">
        <v>685</v>
      </c>
    </row>
    <row r="228" spans="1:18" x14ac:dyDescent="0.25">
      <c r="A228" s="20">
        <v>45808.669050462966</v>
      </c>
      <c r="B228" s="21" t="s">
        <v>690</v>
      </c>
      <c r="C228" s="21" t="s">
        <v>679</v>
      </c>
      <c r="D228" s="21" t="s">
        <v>1246</v>
      </c>
      <c r="E228" s="21">
        <v>5</v>
      </c>
      <c r="F228" s="21">
        <v>5</v>
      </c>
      <c r="G228" s="21">
        <v>5</v>
      </c>
      <c r="H228" s="21">
        <v>5</v>
      </c>
      <c r="I228" s="21">
        <v>5</v>
      </c>
      <c r="J228" s="21">
        <v>5</v>
      </c>
      <c r="K228" s="21">
        <v>5</v>
      </c>
      <c r="L228" s="21" t="s">
        <v>680</v>
      </c>
      <c r="M228" s="21" t="s">
        <v>100</v>
      </c>
      <c r="N228" s="21" t="s">
        <v>1247</v>
      </c>
      <c r="O228" s="21" t="s">
        <v>842</v>
      </c>
      <c r="P228" s="21" t="s">
        <v>19</v>
      </c>
      <c r="Q228" s="21" t="s">
        <v>22</v>
      </c>
      <c r="R228" s="21" t="s">
        <v>685</v>
      </c>
    </row>
    <row r="229" spans="1:18" x14ac:dyDescent="0.25">
      <c r="A229" s="20">
        <v>45809.037623113429</v>
      </c>
      <c r="B229" s="21" t="s">
        <v>678</v>
      </c>
      <c r="C229" s="21" t="s">
        <v>679</v>
      </c>
      <c r="D229" s="21" t="s">
        <v>1248</v>
      </c>
      <c r="E229" s="21">
        <v>5</v>
      </c>
      <c r="F229" s="21">
        <v>5</v>
      </c>
      <c r="G229" s="21">
        <v>5</v>
      </c>
      <c r="H229" s="21">
        <v>5</v>
      </c>
      <c r="I229" s="21">
        <v>5</v>
      </c>
      <c r="J229" s="21">
        <v>5</v>
      </c>
      <c r="K229" s="21">
        <v>5</v>
      </c>
      <c r="L229" s="21" t="s">
        <v>687</v>
      </c>
      <c r="M229" s="21" t="s">
        <v>100</v>
      </c>
      <c r="N229" s="21" t="s">
        <v>1249</v>
      </c>
      <c r="O229" s="21" t="s">
        <v>238</v>
      </c>
      <c r="P229" s="21" t="s">
        <v>19</v>
      </c>
      <c r="Q229" s="21" t="s">
        <v>22</v>
      </c>
      <c r="R229" s="21" t="s">
        <v>685</v>
      </c>
    </row>
    <row r="230" spans="1:18" x14ac:dyDescent="0.25">
      <c r="A230" s="20">
        <v>45809.038826053242</v>
      </c>
      <c r="B230" s="21" t="s">
        <v>690</v>
      </c>
      <c r="C230" s="21" t="s">
        <v>679</v>
      </c>
      <c r="D230" s="21" t="s">
        <v>1250</v>
      </c>
      <c r="E230" s="21">
        <v>5</v>
      </c>
      <c r="F230" s="21">
        <v>5</v>
      </c>
      <c r="G230" s="21">
        <v>5</v>
      </c>
      <c r="H230" s="21">
        <v>5</v>
      </c>
      <c r="I230" s="21">
        <v>5</v>
      </c>
      <c r="J230" s="21">
        <v>5</v>
      </c>
      <c r="K230" s="21">
        <v>5</v>
      </c>
      <c r="L230" s="21" t="s">
        <v>680</v>
      </c>
      <c r="M230" s="21" t="s">
        <v>100</v>
      </c>
      <c r="N230" s="21" t="s">
        <v>1251</v>
      </c>
      <c r="O230" s="21" t="s">
        <v>238</v>
      </c>
      <c r="P230" s="21" t="s">
        <v>19</v>
      </c>
      <c r="Q230" s="21" t="s">
        <v>22</v>
      </c>
      <c r="R230" s="21" t="s">
        <v>685</v>
      </c>
    </row>
    <row r="231" spans="1:18" x14ac:dyDescent="0.25">
      <c r="A231" s="20">
        <v>45809.194759293983</v>
      </c>
      <c r="B231" s="21" t="s">
        <v>678</v>
      </c>
      <c r="C231" s="21" t="s">
        <v>679</v>
      </c>
      <c r="D231" s="21" t="s">
        <v>1252</v>
      </c>
      <c r="E231" s="21">
        <v>5</v>
      </c>
      <c r="F231" s="21">
        <v>5</v>
      </c>
      <c r="G231" s="21">
        <v>5</v>
      </c>
      <c r="H231" s="21">
        <v>5</v>
      </c>
      <c r="I231" s="21">
        <v>5</v>
      </c>
      <c r="J231" s="21">
        <v>5</v>
      </c>
      <c r="K231" s="21">
        <v>5</v>
      </c>
      <c r="L231" s="21" t="s">
        <v>687</v>
      </c>
      <c r="M231" s="21" t="s">
        <v>100</v>
      </c>
      <c r="N231" s="21" t="s">
        <v>1253</v>
      </c>
      <c r="O231" s="21" t="s">
        <v>230</v>
      </c>
      <c r="P231" s="21" t="s">
        <v>19</v>
      </c>
      <c r="Q231" s="21" t="s">
        <v>31</v>
      </c>
      <c r="R231" s="21" t="s">
        <v>685</v>
      </c>
    </row>
    <row r="232" spans="1:18" x14ac:dyDescent="0.25">
      <c r="A232" s="20">
        <v>45809.196008472223</v>
      </c>
      <c r="B232" s="21" t="s">
        <v>690</v>
      </c>
      <c r="C232" s="21" t="s">
        <v>679</v>
      </c>
      <c r="D232" s="21" t="s">
        <v>1254</v>
      </c>
      <c r="E232" s="21">
        <v>5</v>
      </c>
      <c r="F232" s="21">
        <v>5</v>
      </c>
      <c r="G232" s="21">
        <v>5</v>
      </c>
      <c r="H232" s="21">
        <v>5</v>
      </c>
      <c r="I232" s="21">
        <v>5</v>
      </c>
      <c r="J232" s="21">
        <v>5</v>
      </c>
      <c r="K232" s="21">
        <v>5</v>
      </c>
      <c r="L232" s="21" t="s">
        <v>687</v>
      </c>
      <c r="M232" s="21" t="s">
        <v>100</v>
      </c>
      <c r="N232" s="21" t="s">
        <v>1255</v>
      </c>
      <c r="O232" s="21" t="s">
        <v>230</v>
      </c>
      <c r="P232" s="21" t="s">
        <v>19</v>
      </c>
      <c r="Q232" s="21" t="s">
        <v>31</v>
      </c>
      <c r="R232" s="21" t="s">
        <v>685</v>
      </c>
    </row>
    <row r="233" spans="1:18" x14ac:dyDescent="0.25">
      <c r="A233" s="20">
        <v>45811.201990034722</v>
      </c>
      <c r="B233" s="21" t="s">
        <v>963</v>
      </c>
      <c r="C233" s="21" t="s">
        <v>679</v>
      </c>
      <c r="E233" s="21">
        <v>4</v>
      </c>
      <c r="F233" s="21">
        <v>4</v>
      </c>
      <c r="G233" s="21">
        <v>4</v>
      </c>
      <c r="H233" s="21">
        <v>4</v>
      </c>
      <c r="I233" s="21">
        <v>4</v>
      </c>
      <c r="J233" s="21">
        <v>4</v>
      </c>
      <c r="K233" s="21">
        <v>4</v>
      </c>
      <c r="L233" s="21" t="s">
        <v>680</v>
      </c>
      <c r="M233" s="21" t="s">
        <v>681</v>
      </c>
      <c r="N233" s="21" t="s">
        <v>1256</v>
      </c>
      <c r="O233" s="21" t="s">
        <v>284</v>
      </c>
      <c r="P233" s="21" t="s">
        <v>684</v>
      </c>
      <c r="Q233" s="21" t="s">
        <v>22</v>
      </c>
      <c r="R233" s="21" t="s">
        <v>685</v>
      </c>
    </row>
    <row r="234" spans="1:18" x14ac:dyDescent="0.25">
      <c r="A234" s="20">
        <v>45811.205296736109</v>
      </c>
      <c r="B234" s="21" t="s">
        <v>963</v>
      </c>
      <c r="C234" s="21" t="s">
        <v>679</v>
      </c>
      <c r="E234" s="21">
        <v>5</v>
      </c>
      <c r="F234" s="21">
        <v>5</v>
      </c>
      <c r="G234" s="21">
        <v>5</v>
      </c>
      <c r="H234" s="21">
        <v>5</v>
      </c>
      <c r="I234" s="21">
        <v>5</v>
      </c>
      <c r="J234" s="21">
        <v>5</v>
      </c>
      <c r="K234" s="21">
        <v>5</v>
      </c>
      <c r="L234" s="21" t="s">
        <v>680</v>
      </c>
      <c r="M234" s="21" t="s">
        <v>100</v>
      </c>
      <c r="N234" s="21" t="s">
        <v>1257</v>
      </c>
      <c r="O234" s="21" t="s">
        <v>693</v>
      </c>
      <c r="P234" s="21" t="s">
        <v>684</v>
      </c>
      <c r="Q234" s="21" t="s">
        <v>22</v>
      </c>
      <c r="R234" s="21" t="s">
        <v>685</v>
      </c>
    </row>
    <row r="235" spans="1:18" x14ac:dyDescent="0.25">
      <c r="A235" s="20">
        <v>45811.208030474532</v>
      </c>
      <c r="B235" s="21" t="s">
        <v>963</v>
      </c>
      <c r="C235" s="21" t="s">
        <v>679</v>
      </c>
      <c r="D235" s="21" t="s">
        <v>1258</v>
      </c>
      <c r="E235" s="21">
        <v>5</v>
      </c>
      <c r="F235" s="21">
        <v>5</v>
      </c>
      <c r="G235" s="21">
        <v>5</v>
      </c>
      <c r="H235" s="21">
        <v>5</v>
      </c>
      <c r="I235" s="21">
        <v>5</v>
      </c>
      <c r="J235" s="21">
        <v>5</v>
      </c>
      <c r="K235" s="21">
        <v>5</v>
      </c>
      <c r="L235" s="21" t="s">
        <v>680</v>
      </c>
      <c r="M235" s="21" t="s">
        <v>100</v>
      </c>
      <c r="N235" s="21" t="s">
        <v>1259</v>
      </c>
      <c r="O235" s="21" t="s">
        <v>230</v>
      </c>
      <c r="P235" s="21" t="s">
        <v>684</v>
      </c>
      <c r="Q235" s="21" t="s">
        <v>22</v>
      </c>
      <c r="R235" s="21" t="s">
        <v>685</v>
      </c>
    </row>
    <row r="236" spans="1:18" x14ac:dyDescent="0.25">
      <c r="A236" s="20">
        <v>45811.208259398147</v>
      </c>
      <c r="B236" s="21" t="s">
        <v>963</v>
      </c>
      <c r="C236" s="21" t="s">
        <v>679</v>
      </c>
      <c r="E236" s="21">
        <v>5</v>
      </c>
      <c r="F236" s="21">
        <v>5</v>
      </c>
      <c r="G236" s="21">
        <v>4</v>
      </c>
      <c r="H236" s="21">
        <v>4</v>
      </c>
      <c r="I236" s="21">
        <v>5</v>
      </c>
      <c r="J236" s="21">
        <v>5</v>
      </c>
      <c r="K236" s="21">
        <v>4</v>
      </c>
      <c r="L236" s="21" t="s">
        <v>680</v>
      </c>
      <c r="N236" s="21" t="s">
        <v>702</v>
      </c>
      <c r="O236" s="21" t="s">
        <v>1260</v>
      </c>
      <c r="P236" s="21" t="s">
        <v>684</v>
      </c>
      <c r="Q236" s="21" t="s">
        <v>22</v>
      </c>
      <c r="R236" s="21" t="s">
        <v>685</v>
      </c>
    </row>
    <row r="237" spans="1:18" x14ac:dyDescent="0.25">
      <c r="A237" s="20">
        <v>45811.309421087964</v>
      </c>
      <c r="B237" s="21" t="s">
        <v>963</v>
      </c>
      <c r="C237" s="21" t="s">
        <v>679</v>
      </c>
      <c r="D237" s="21" t="s">
        <v>1261</v>
      </c>
      <c r="E237" s="21">
        <v>5</v>
      </c>
      <c r="F237" s="21">
        <v>5</v>
      </c>
      <c r="G237" s="21">
        <v>5</v>
      </c>
      <c r="H237" s="21">
        <v>5</v>
      </c>
      <c r="I237" s="21">
        <v>5</v>
      </c>
      <c r="J237" s="21">
        <v>5</v>
      </c>
      <c r="K237" s="21">
        <v>5</v>
      </c>
      <c r="L237" s="21" t="s">
        <v>680</v>
      </c>
      <c r="M237" s="21" t="s">
        <v>100</v>
      </c>
      <c r="N237" s="21" t="s">
        <v>1262</v>
      </c>
      <c r="O237" s="21" t="s">
        <v>230</v>
      </c>
      <c r="P237" s="21" t="s">
        <v>684</v>
      </c>
      <c r="Q237" s="21" t="s">
        <v>22</v>
      </c>
      <c r="R237" s="21" t="s">
        <v>685</v>
      </c>
    </row>
    <row r="238" spans="1:18" x14ac:dyDescent="0.25">
      <c r="A238" s="20">
        <v>45811.574523703704</v>
      </c>
      <c r="B238" s="21" t="s">
        <v>963</v>
      </c>
      <c r="C238" s="21" t="s">
        <v>703</v>
      </c>
      <c r="E238" s="21">
        <v>5</v>
      </c>
      <c r="F238" s="21">
        <v>5</v>
      </c>
      <c r="G238" s="21">
        <v>4</v>
      </c>
      <c r="H238" s="21">
        <v>5</v>
      </c>
      <c r="I238" s="21">
        <v>5</v>
      </c>
      <c r="J238" s="21">
        <v>5</v>
      </c>
      <c r="K238" s="21">
        <v>5</v>
      </c>
      <c r="L238" s="21" t="s">
        <v>680</v>
      </c>
      <c r="M238" s="21" t="s">
        <v>681</v>
      </c>
      <c r="N238" s="21" t="s">
        <v>313</v>
      </c>
      <c r="O238" s="21" t="s">
        <v>1263</v>
      </c>
      <c r="P238" s="21" t="s">
        <v>684</v>
      </c>
      <c r="Q238" s="21" t="s">
        <v>22</v>
      </c>
      <c r="R238" s="21" t="s">
        <v>685</v>
      </c>
    </row>
    <row r="239" spans="1:18" x14ac:dyDescent="0.25">
      <c r="A239" s="20">
        <v>45811.610996215277</v>
      </c>
      <c r="B239" s="21" t="s">
        <v>963</v>
      </c>
      <c r="C239" s="21" t="s">
        <v>679</v>
      </c>
      <c r="E239" s="21">
        <v>5</v>
      </c>
      <c r="F239" s="21">
        <v>5</v>
      </c>
      <c r="G239" s="21">
        <v>5</v>
      </c>
      <c r="H239" s="21">
        <v>5</v>
      </c>
      <c r="I239" s="21">
        <v>5</v>
      </c>
      <c r="J239" s="21">
        <v>5</v>
      </c>
      <c r="K239" s="21">
        <v>5</v>
      </c>
      <c r="L239" s="21" t="s">
        <v>680</v>
      </c>
      <c r="M239" s="21" t="s">
        <v>100</v>
      </c>
      <c r="N239" s="21" t="s">
        <v>1264</v>
      </c>
      <c r="O239" s="21" t="s">
        <v>1265</v>
      </c>
      <c r="P239" s="21" t="s">
        <v>684</v>
      </c>
      <c r="Q239" s="21" t="s">
        <v>22</v>
      </c>
      <c r="R239" s="21" t="s">
        <v>685</v>
      </c>
    </row>
    <row r="240" spans="1:18" x14ac:dyDescent="0.25">
      <c r="A240" s="20">
        <v>45811.629663356478</v>
      </c>
      <c r="B240" s="21" t="s">
        <v>963</v>
      </c>
      <c r="C240" s="21" t="s">
        <v>703</v>
      </c>
      <c r="E240" s="21">
        <v>3</v>
      </c>
      <c r="F240" s="21">
        <v>3</v>
      </c>
      <c r="G240" s="21">
        <v>4</v>
      </c>
      <c r="H240" s="21">
        <v>3</v>
      </c>
      <c r="I240" s="21">
        <v>3</v>
      </c>
      <c r="J240" s="21">
        <v>4</v>
      </c>
      <c r="K240" s="21">
        <v>3</v>
      </c>
      <c r="L240" s="21" t="s">
        <v>680</v>
      </c>
      <c r="M240" s="21" t="s">
        <v>681</v>
      </c>
      <c r="N240" s="21" t="s">
        <v>1266</v>
      </c>
      <c r="O240" s="21" t="s">
        <v>1267</v>
      </c>
      <c r="P240" s="21" t="s">
        <v>684</v>
      </c>
      <c r="Q240" s="21" t="s">
        <v>22</v>
      </c>
      <c r="R240" s="21" t="s">
        <v>685</v>
      </c>
    </row>
    <row r="241" spans="1:18" x14ac:dyDescent="0.25">
      <c r="A241" s="20">
        <v>45831.26440482639</v>
      </c>
      <c r="B241" s="21" t="s">
        <v>963</v>
      </c>
      <c r="C241" s="21" t="s">
        <v>703</v>
      </c>
      <c r="E241" s="21">
        <v>4</v>
      </c>
      <c r="F241" s="21">
        <v>4</v>
      </c>
      <c r="G241" s="21">
        <v>5</v>
      </c>
      <c r="H241" s="21">
        <v>5</v>
      </c>
      <c r="I241" s="21">
        <v>5</v>
      </c>
      <c r="J241" s="21">
        <v>5</v>
      </c>
      <c r="K241" s="21">
        <v>5</v>
      </c>
      <c r="L241" s="21" t="s">
        <v>680</v>
      </c>
      <c r="M241" s="21" t="s">
        <v>100</v>
      </c>
      <c r="N241" s="21" t="s">
        <v>1268</v>
      </c>
      <c r="O241" s="21" t="s">
        <v>265</v>
      </c>
      <c r="P241" s="21" t="s">
        <v>684</v>
      </c>
      <c r="Q241" s="21" t="s">
        <v>22</v>
      </c>
      <c r="R241" s="21" t="s">
        <v>685</v>
      </c>
    </row>
    <row r="242" spans="1:18" x14ac:dyDescent="0.25">
      <c r="A242" s="22">
        <v>45831.316386099541</v>
      </c>
      <c r="B242" s="23" t="s">
        <v>805</v>
      </c>
      <c r="C242" s="23" t="s">
        <v>703</v>
      </c>
      <c r="D242" s="23" t="s">
        <v>1269</v>
      </c>
      <c r="E242" s="23">
        <v>4</v>
      </c>
      <c r="F242" s="23">
        <v>4</v>
      </c>
      <c r="G242" s="23">
        <v>5</v>
      </c>
      <c r="H242" s="23">
        <v>5</v>
      </c>
      <c r="I242" s="23">
        <v>5</v>
      </c>
      <c r="J242" s="23">
        <v>4</v>
      </c>
      <c r="K242" s="23">
        <v>4</v>
      </c>
      <c r="L242" s="23" t="s">
        <v>680</v>
      </c>
      <c r="M242" s="23" t="s">
        <v>681</v>
      </c>
      <c r="N242" s="23" t="s">
        <v>1270</v>
      </c>
      <c r="O242" s="23" t="s">
        <v>395</v>
      </c>
      <c r="P242" s="23" t="s">
        <v>684</v>
      </c>
      <c r="Q242" s="23" t="s">
        <v>22</v>
      </c>
      <c r="R242" s="23" t="s">
        <v>685</v>
      </c>
    </row>
    <row r="243" spans="1:18" x14ac:dyDescent="0.25">
      <c r="A243" s="20">
        <v>45831.318650173613</v>
      </c>
      <c r="B243" s="21" t="s">
        <v>963</v>
      </c>
      <c r="C243" s="21" t="s">
        <v>703</v>
      </c>
      <c r="D243" s="21" t="s">
        <v>1271</v>
      </c>
      <c r="E243" s="21">
        <v>4</v>
      </c>
      <c r="F243" s="21">
        <v>5</v>
      </c>
      <c r="G243" s="21">
        <v>5</v>
      </c>
      <c r="H243" s="21">
        <v>5</v>
      </c>
      <c r="I243" s="21">
        <v>5</v>
      </c>
      <c r="J243" s="21">
        <v>5</v>
      </c>
      <c r="K243" s="21">
        <v>5</v>
      </c>
      <c r="L243" s="21" t="s">
        <v>680</v>
      </c>
      <c r="M243" s="21" t="s">
        <v>681</v>
      </c>
      <c r="N243" s="21" t="s">
        <v>1272</v>
      </c>
      <c r="O243" s="21" t="s">
        <v>395</v>
      </c>
      <c r="P243" s="21" t="s">
        <v>684</v>
      </c>
      <c r="Q243" s="21" t="s">
        <v>22</v>
      </c>
      <c r="R243" s="21" t="s">
        <v>685</v>
      </c>
    </row>
    <row r="244" spans="1:18" x14ac:dyDescent="0.25">
      <c r="A244" s="20">
        <v>45831.320441388889</v>
      </c>
      <c r="B244" s="21" t="s">
        <v>849</v>
      </c>
      <c r="C244" s="21" t="s">
        <v>703</v>
      </c>
      <c r="D244" s="21" t="s">
        <v>1273</v>
      </c>
      <c r="E244" s="21">
        <v>5</v>
      </c>
      <c r="F244" s="21">
        <v>5</v>
      </c>
      <c r="G244" s="21">
        <v>5</v>
      </c>
      <c r="H244" s="21">
        <v>5</v>
      </c>
      <c r="I244" s="21">
        <v>5</v>
      </c>
      <c r="J244" s="21">
        <v>5</v>
      </c>
      <c r="K244" s="21">
        <v>5</v>
      </c>
      <c r="L244" s="21" t="s">
        <v>680</v>
      </c>
      <c r="M244" s="21" t="s">
        <v>681</v>
      </c>
      <c r="N244" s="21" t="s">
        <v>1274</v>
      </c>
      <c r="O244" s="21" t="s">
        <v>395</v>
      </c>
      <c r="P244" s="21" t="s">
        <v>684</v>
      </c>
      <c r="Q244" s="21" t="s">
        <v>22</v>
      </c>
      <c r="R244" s="21" t="s">
        <v>685</v>
      </c>
    </row>
    <row r="245" spans="1:18" x14ac:dyDescent="0.25">
      <c r="A245" s="16">
        <v>45893.260466770837</v>
      </c>
      <c r="B245" s="17" t="s">
        <v>963</v>
      </c>
      <c r="C245" s="17" t="s">
        <v>679</v>
      </c>
      <c r="D245" s="17" t="s">
        <v>1275</v>
      </c>
      <c r="E245" s="17">
        <v>5</v>
      </c>
      <c r="F245" s="17">
        <v>5</v>
      </c>
      <c r="G245" s="17">
        <v>5</v>
      </c>
      <c r="H245" s="17">
        <v>5</v>
      </c>
      <c r="I245" s="17">
        <v>5</v>
      </c>
      <c r="J245" s="17">
        <v>2</v>
      </c>
      <c r="K245" s="17">
        <v>5</v>
      </c>
      <c r="L245" s="17" t="s">
        <v>680</v>
      </c>
      <c r="M245" s="17" t="s">
        <v>100</v>
      </c>
      <c r="N245" s="17" t="s">
        <v>1276</v>
      </c>
      <c r="O245" s="17" t="s">
        <v>1277</v>
      </c>
      <c r="P245" s="17" t="s">
        <v>19</v>
      </c>
      <c r="Q245" s="17" t="s">
        <v>22</v>
      </c>
      <c r="R245" s="17" t="s">
        <v>685</v>
      </c>
    </row>
    <row r="246" spans="1:18" x14ac:dyDescent="0.25">
      <c r="A246" s="16">
        <v>45893.260898460649</v>
      </c>
      <c r="B246" s="17" t="s">
        <v>963</v>
      </c>
      <c r="C246" s="17" t="s">
        <v>679</v>
      </c>
      <c r="D246" s="17" t="s">
        <v>1278</v>
      </c>
      <c r="E246" s="17">
        <v>5</v>
      </c>
      <c r="F246" s="17">
        <v>5</v>
      </c>
      <c r="G246" s="17">
        <v>5</v>
      </c>
      <c r="H246" s="17">
        <v>5</v>
      </c>
      <c r="I246" s="17">
        <v>5</v>
      </c>
      <c r="J246" s="17">
        <v>5</v>
      </c>
      <c r="K246" s="17">
        <v>5</v>
      </c>
      <c r="L246" s="17" t="s">
        <v>680</v>
      </c>
      <c r="M246" s="17" t="s">
        <v>100</v>
      </c>
      <c r="N246" s="17" t="s">
        <v>1279</v>
      </c>
      <c r="O246" s="17" t="s">
        <v>238</v>
      </c>
      <c r="P246" s="17" t="s">
        <v>19</v>
      </c>
      <c r="Q246" s="17" t="s">
        <v>22</v>
      </c>
      <c r="R246" s="17" t="s">
        <v>685</v>
      </c>
    </row>
    <row r="247" spans="1:18" x14ac:dyDescent="0.25">
      <c r="A247" s="16">
        <v>45893.262038032408</v>
      </c>
      <c r="B247" s="17" t="s">
        <v>963</v>
      </c>
      <c r="C247" s="17" t="s">
        <v>679</v>
      </c>
      <c r="D247" s="17" t="s">
        <v>1280</v>
      </c>
      <c r="E247" s="17">
        <v>5</v>
      </c>
      <c r="F247" s="17">
        <v>5</v>
      </c>
      <c r="G247" s="17">
        <v>5</v>
      </c>
      <c r="H247" s="17">
        <v>5</v>
      </c>
      <c r="I247" s="17">
        <v>5</v>
      </c>
      <c r="J247" s="17">
        <v>5</v>
      </c>
      <c r="K247" s="17">
        <v>5</v>
      </c>
      <c r="L247" s="17" t="s">
        <v>680</v>
      </c>
      <c r="M247" s="17" t="s">
        <v>100</v>
      </c>
      <c r="N247" s="17" t="s">
        <v>1281</v>
      </c>
      <c r="O247" s="17" t="s">
        <v>1282</v>
      </c>
      <c r="P247" s="17" t="s">
        <v>19</v>
      </c>
      <c r="Q247" s="17" t="s">
        <v>31</v>
      </c>
      <c r="R247" s="17" t="s">
        <v>685</v>
      </c>
    </row>
    <row r="248" spans="1:18" x14ac:dyDescent="0.25">
      <c r="A248" s="16">
        <v>45893.264281701384</v>
      </c>
      <c r="B248" s="17" t="s">
        <v>963</v>
      </c>
      <c r="C248" s="17" t="s">
        <v>679</v>
      </c>
      <c r="D248" s="17" t="s">
        <v>1283</v>
      </c>
      <c r="E248" s="17">
        <v>5</v>
      </c>
      <c r="F248" s="17">
        <v>5</v>
      </c>
      <c r="G248" s="17">
        <v>4</v>
      </c>
      <c r="H248" s="17">
        <v>5</v>
      </c>
      <c r="I248" s="17">
        <v>5</v>
      </c>
      <c r="J248" s="17">
        <v>4</v>
      </c>
      <c r="K248" s="17">
        <v>5</v>
      </c>
      <c r="L248" s="17" t="s">
        <v>743</v>
      </c>
      <c r="M248" s="17" t="s">
        <v>100</v>
      </c>
      <c r="N248" s="17" t="s">
        <v>539</v>
      </c>
      <c r="O248" s="17" t="s">
        <v>1284</v>
      </c>
      <c r="P248" s="17" t="s">
        <v>19</v>
      </c>
      <c r="Q248" s="17" t="s">
        <v>22</v>
      </c>
      <c r="R248" s="17" t="s">
        <v>685</v>
      </c>
    </row>
    <row r="249" spans="1:18" x14ac:dyDescent="0.25">
      <c r="A249" s="16">
        <v>45893.267332928241</v>
      </c>
      <c r="B249" s="17" t="s">
        <v>963</v>
      </c>
      <c r="C249" s="17" t="s">
        <v>703</v>
      </c>
      <c r="D249" s="17" t="s">
        <v>1285</v>
      </c>
      <c r="E249" s="17">
        <v>5</v>
      </c>
      <c r="F249" s="17">
        <v>5</v>
      </c>
      <c r="G249" s="17">
        <v>5</v>
      </c>
      <c r="H249" s="17">
        <v>4</v>
      </c>
      <c r="I249" s="17">
        <v>5</v>
      </c>
      <c r="J249" s="17">
        <v>4</v>
      </c>
      <c r="K249" s="17">
        <v>4</v>
      </c>
      <c r="L249" s="17" t="s">
        <v>680</v>
      </c>
      <c r="M249" s="17" t="s">
        <v>681</v>
      </c>
      <c r="N249" s="17" t="s">
        <v>1286</v>
      </c>
      <c r="O249" s="17" t="s">
        <v>459</v>
      </c>
      <c r="P249" s="17" t="s">
        <v>19</v>
      </c>
      <c r="Q249" s="17" t="s">
        <v>22</v>
      </c>
      <c r="R249" s="17" t="s">
        <v>685</v>
      </c>
    </row>
    <row r="250" spans="1:18" x14ac:dyDescent="0.25">
      <c r="A250" s="16">
        <v>45893.268025069439</v>
      </c>
      <c r="B250" s="17" t="s">
        <v>963</v>
      </c>
      <c r="C250" s="17" t="s">
        <v>679</v>
      </c>
      <c r="D250" s="17" t="s">
        <v>1287</v>
      </c>
      <c r="E250" s="17">
        <v>4</v>
      </c>
      <c r="F250" s="17">
        <v>5</v>
      </c>
      <c r="G250" s="17">
        <v>4</v>
      </c>
      <c r="H250" s="17">
        <v>5</v>
      </c>
      <c r="I250" s="17">
        <v>4</v>
      </c>
      <c r="J250" s="17">
        <v>4</v>
      </c>
      <c r="K250" s="17">
        <v>4</v>
      </c>
      <c r="L250" s="17" t="s">
        <v>680</v>
      </c>
      <c r="M250" s="17" t="s">
        <v>681</v>
      </c>
      <c r="N250" s="17" t="s">
        <v>1288</v>
      </c>
      <c r="O250" s="17" t="s">
        <v>1289</v>
      </c>
      <c r="P250" s="17" t="s">
        <v>19</v>
      </c>
      <c r="Q250" s="17" t="s">
        <v>31</v>
      </c>
      <c r="R250" s="17" t="s">
        <v>685</v>
      </c>
    </row>
    <row r="251" spans="1:18" x14ac:dyDescent="0.25">
      <c r="A251" s="16">
        <v>45893.275797719907</v>
      </c>
      <c r="B251" s="17" t="s">
        <v>963</v>
      </c>
      <c r="C251" s="17" t="s">
        <v>703</v>
      </c>
      <c r="E251" s="17">
        <v>5</v>
      </c>
      <c r="F251" s="17">
        <v>5</v>
      </c>
      <c r="G251" s="17">
        <v>4</v>
      </c>
      <c r="H251" s="17">
        <v>4</v>
      </c>
      <c r="I251" s="17">
        <v>5</v>
      </c>
      <c r="J251" s="17">
        <v>4</v>
      </c>
      <c r="K251" s="17">
        <v>5</v>
      </c>
      <c r="L251" s="17" t="s">
        <v>743</v>
      </c>
      <c r="M251" s="17" t="s">
        <v>681</v>
      </c>
      <c r="N251" s="17" t="s">
        <v>1290</v>
      </c>
      <c r="O251" s="17" t="s">
        <v>1291</v>
      </c>
      <c r="P251" s="17" t="s">
        <v>19</v>
      </c>
      <c r="Q251" s="17" t="s">
        <v>31</v>
      </c>
      <c r="R251" s="17" t="s">
        <v>685</v>
      </c>
    </row>
    <row r="252" spans="1:18" x14ac:dyDescent="0.25">
      <c r="A252" s="16">
        <v>45893.281180543985</v>
      </c>
      <c r="B252" s="17" t="s">
        <v>963</v>
      </c>
      <c r="C252" s="17" t="s">
        <v>679</v>
      </c>
      <c r="D252" s="17" t="s">
        <v>1292</v>
      </c>
      <c r="E252" s="17">
        <v>5</v>
      </c>
      <c r="F252" s="17">
        <v>5</v>
      </c>
      <c r="G252" s="17">
        <v>5</v>
      </c>
      <c r="H252" s="17">
        <v>5</v>
      </c>
      <c r="I252" s="17">
        <v>5</v>
      </c>
      <c r="J252" s="17">
        <v>5</v>
      </c>
      <c r="K252" s="17">
        <v>5</v>
      </c>
      <c r="L252" s="17" t="s">
        <v>680</v>
      </c>
      <c r="M252" s="17" t="s">
        <v>100</v>
      </c>
      <c r="N252" s="17" t="s">
        <v>1293</v>
      </c>
      <c r="O252" s="17" t="s">
        <v>1294</v>
      </c>
      <c r="P252" s="17" t="s">
        <v>19</v>
      </c>
      <c r="Q252" s="17" t="s">
        <v>31</v>
      </c>
      <c r="R252" s="17" t="s">
        <v>685</v>
      </c>
    </row>
    <row r="253" spans="1:18" x14ac:dyDescent="0.25">
      <c r="A253" s="16">
        <v>45893.281486111111</v>
      </c>
      <c r="B253" s="17" t="s">
        <v>963</v>
      </c>
      <c r="C253" s="17" t="s">
        <v>679</v>
      </c>
      <c r="D253" s="17" t="s">
        <v>1295</v>
      </c>
      <c r="E253" s="17">
        <v>5</v>
      </c>
      <c r="F253" s="17">
        <v>5</v>
      </c>
      <c r="G253" s="17">
        <v>5</v>
      </c>
      <c r="H253" s="17">
        <v>5</v>
      </c>
      <c r="I253" s="17">
        <v>5</v>
      </c>
      <c r="J253" s="17">
        <v>5</v>
      </c>
      <c r="K253" s="17">
        <v>5</v>
      </c>
      <c r="L253" s="17" t="s">
        <v>687</v>
      </c>
      <c r="M253" s="17" t="s">
        <v>100</v>
      </c>
      <c r="N253" s="17" t="s">
        <v>1296</v>
      </c>
      <c r="O253" s="17" t="s">
        <v>1297</v>
      </c>
      <c r="P253" s="17" t="s">
        <v>19</v>
      </c>
      <c r="Q253" s="17" t="s">
        <v>22</v>
      </c>
      <c r="R253" s="17" t="s">
        <v>685</v>
      </c>
    </row>
    <row r="254" spans="1:18" x14ac:dyDescent="0.25">
      <c r="A254" s="16">
        <v>45893.291374236112</v>
      </c>
      <c r="B254" s="17" t="s">
        <v>963</v>
      </c>
      <c r="C254" s="17" t="s">
        <v>679</v>
      </c>
      <c r="D254" s="17" t="s">
        <v>1298</v>
      </c>
      <c r="E254" s="17">
        <v>4</v>
      </c>
      <c r="F254" s="17">
        <v>5</v>
      </c>
      <c r="G254" s="17">
        <v>4</v>
      </c>
      <c r="H254" s="17">
        <v>5</v>
      </c>
      <c r="I254" s="17">
        <v>5</v>
      </c>
      <c r="J254" s="17">
        <v>5</v>
      </c>
      <c r="K254" s="17">
        <v>4</v>
      </c>
      <c r="L254" s="17" t="s">
        <v>743</v>
      </c>
      <c r="M254" s="17" t="s">
        <v>100</v>
      </c>
      <c r="N254" s="17" t="s">
        <v>1299</v>
      </c>
      <c r="O254" s="17" t="s">
        <v>1300</v>
      </c>
      <c r="P254" s="17" t="s">
        <v>19</v>
      </c>
      <c r="Q254" s="17" t="s">
        <v>22</v>
      </c>
      <c r="R254" s="17" t="s">
        <v>685</v>
      </c>
    </row>
    <row r="255" spans="1:18" x14ac:dyDescent="0.25">
      <c r="A255" s="16">
        <v>45893.297353888891</v>
      </c>
      <c r="B255" s="17" t="s">
        <v>963</v>
      </c>
      <c r="C255" s="17" t="s">
        <v>679</v>
      </c>
      <c r="D255" s="17" t="s">
        <v>1301</v>
      </c>
      <c r="E255" s="17">
        <v>5</v>
      </c>
      <c r="F255" s="17">
        <v>5</v>
      </c>
      <c r="G255" s="17">
        <v>5</v>
      </c>
      <c r="H255" s="17">
        <v>5</v>
      </c>
      <c r="I255" s="17">
        <v>5</v>
      </c>
      <c r="J255" s="17">
        <v>5</v>
      </c>
      <c r="K255" s="17">
        <v>5</v>
      </c>
      <c r="L255" s="17" t="s">
        <v>680</v>
      </c>
      <c r="M255" s="17" t="s">
        <v>100</v>
      </c>
      <c r="N255" s="17" t="s">
        <v>1302</v>
      </c>
      <c r="O255" s="17" t="s">
        <v>238</v>
      </c>
      <c r="P255" s="17" t="s">
        <v>19</v>
      </c>
      <c r="Q255" s="17" t="s">
        <v>22</v>
      </c>
      <c r="R255" s="17" t="s">
        <v>685</v>
      </c>
    </row>
    <row r="256" spans="1:18" x14ac:dyDescent="0.25">
      <c r="A256" s="16">
        <v>45893.31096609954</v>
      </c>
      <c r="B256" s="17" t="s">
        <v>963</v>
      </c>
      <c r="C256" s="17" t="s">
        <v>703</v>
      </c>
      <c r="D256" s="17" t="s">
        <v>1303</v>
      </c>
      <c r="E256" s="17">
        <v>4</v>
      </c>
      <c r="F256" s="17">
        <v>4</v>
      </c>
      <c r="G256" s="17">
        <v>5</v>
      </c>
      <c r="H256" s="17">
        <v>5</v>
      </c>
      <c r="I256" s="17">
        <v>4</v>
      </c>
      <c r="J256" s="17">
        <v>2</v>
      </c>
      <c r="K256" s="17">
        <v>4</v>
      </c>
      <c r="L256" s="17" t="s">
        <v>680</v>
      </c>
      <c r="M256" s="17" t="s">
        <v>681</v>
      </c>
      <c r="N256" s="17" t="s">
        <v>1304</v>
      </c>
      <c r="O256" s="17" t="s">
        <v>1305</v>
      </c>
      <c r="P256" s="17" t="s">
        <v>19</v>
      </c>
      <c r="Q256" s="17" t="s">
        <v>22</v>
      </c>
      <c r="R256" s="17" t="s">
        <v>685</v>
      </c>
    </row>
    <row r="257" spans="1:18" x14ac:dyDescent="0.25">
      <c r="A257" s="16">
        <v>45893.317986377311</v>
      </c>
      <c r="B257" s="17" t="s">
        <v>963</v>
      </c>
      <c r="C257" s="17" t="s">
        <v>703</v>
      </c>
      <c r="D257" s="17" t="s">
        <v>1306</v>
      </c>
      <c r="E257" s="17">
        <v>4</v>
      </c>
      <c r="F257" s="17">
        <v>4</v>
      </c>
      <c r="G257" s="17">
        <v>3</v>
      </c>
      <c r="H257" s="17">
        <v>4</v>
      </c>
      <c r="I257" s="17">
        <v>4</v>
      </c>
      <c r="J257" s="17">
        <v>4</v>
      </c>
      <c r="K257" s="17">
        <v>4</v>
      </c>
      <c r="L257" s="17" t="s">
        <v>680</v>
      </c>
      <c r="M257" s="17" t="s">
        <v>681</v>
      </c>
      <c r="N257" s="17" t="s">
        <v>238</v>
      </c>
      <c r="O257" s="17" t="s">
        <v>1307</v>
      </c>
      <c r="P257" s="17" t="s">
        <v>19</v>
      </c>
      <c r="Q257" s="17" t="s">
        <v>22</v>
      </c>
      <c r="R257" s="17" t="s">
        <v>685</v>
      </c>
    </row>
    <row r="258" spans="1:18" x14ac:dyDescent="0.25">
      <c r="A258" s="16">
        <v>45893.323842777776</v>
      </c>
      <c r="B258" s="17" t="s">
        <v>963</v>
      </c>
      <c r="C258" s="17" t="s">
        <v>703</v>
      </c>
      <c r="D258" s="17" t="s">
        <v>1308</v>
      </c>
      <c r="E258" s="17">
        <v>5</v>
      </c>
      <c r="F258" s="17">
        <v>5</v>
      </c>
      <c r="G258" s="17">
        <v>5</v>
      </c>
      <c r="H258" s="17">
        <v>5</v>
      </c>
      <c r="I258" s="17">
        <v>5</v>
      </c>
      <c r="J258" s="17">
        <v>2</v>
      </c>
      <c r="K258" s="17">
        <v>5</v>
      </c>
      <c r="L258" s="17" t="s">
        <v>680</v>
      </c>
      <c r="M258" s="17" t="s">
        <v>681</v>
      </c>
      <c r="N258" s="17" t="s">
        <v>1309</v>
      </c>
      <c r="O258" s="17" t="s">
        <v>1310</v>
      </c>
      <c r="P258" s="17" t="s">
        <v>19</v>
      </c>
      <c r="Q258" s="17" t="s">
        <v>31</v>
      </c>
      <c r="R258" s="17" t="s">
        <v>685</v>
      </c>
    </row>
    <row r="259" spans="1:18" x14ac:dyDescent="0.25">
      <c r="A259" s="16">
        <v>45893.33385412037</v>
      </c>
      <c r="B259" s="17" t="s">
        <v>963</v>
      </c>
      <c r="C259" s="17" t="s">
        <v>703</v>
      </c>
      <c r="D259" s="17" t="s">
        <v>1311</v>
      </c>
      <c r="E259" s="17">
        <v>5</v>
      </c>
      <c r="F259" s="17">
        <v>4</v>
      </c>
      <c r="G259" s="17">
        <v>4</v>
      </c>
      <c r="H259" s="17">
        <v>4</v>
      </c>
      <c r="I259" s="17">
        <v>4</v>
      </c>
      <c r="J259" s="17">
        <v>3</v>
      </c>
      <c r="K259" s="17">
        <v>5</v>
      </c>
      <c r="L259" s="17" t="s">
        <v>680</v>
      </c>
      <c r="M259" s="17" t="s">
        <v>681</v>
      </c>
      <c r="N259" s="17" t="s">
        <v>1312</v>
      </c>
      <c r="O259" s="17" t="s">
        <v>1313</v>
      </c>
      <c r="P259" s="17" t="s">
        <v>19</v>
      </c>
      <c r="Q259" s="17" t="s">
        <v>22</v>
      </c>
      <c r="R259" s="17" t="s">
        <v>685</v>
      </c>
    </row>
    <row r="260" spans="1:18" x14ac:dyDescent="0.25">
      <c r="A260" s="16">
        <v>45893.337627615736</v>
      </c>
      <c r="B260" s="17" t="s">
        <v>963</v>
      </c>
      <c r="C260" s="17" t="s">
        <v>679</v>
      </c>
      <c r="D260" s="17" t="s">
        <v>1314</v>
      </c>
      <c r="E260" s="17">
        <v>5</v>
      </c>
      <c r="F260" s="17">
        <v>5</v>
      </c>
      <c r="G260" s="17">
        <v>4</v>
      </c>
      <c r="H260" s="17">
        <v>3</v>
      </c>
      <c r="I260" s="17">
        <v>3</v>
      </c>
      <c r="J260" s="17">
        <v>2</v>
      </c>
      <c r="K260" s="17">
        <v>4</v>
      </c>
      <c r="L260" s="17" t="s">
        <v>680</v>
      </c>
      <c r="M260" s="17" t="s">
        <v>681</v>
      </c>
      <c r="N260" s="17" t="s">
        <v>1315</v>
      </c>
      <c r="O260" s="17" t="s">
        <v>1316</v>
      </c>
      <c r="P260" s="17" t="s">
        <v>19</v>
      </c>
      <c r="Q260" s="17" t="s">
        <v>22</v>
      </c>
      <c r="R260" s="17" t="s">
        <v>685</v>
      </c>
    </row>
    <row r="261" spans="1:18" x14ac:dyDescent="0.25">
      <c r="A261" s="16">
        <v>45893.371545694448</v>
      </c>
      <c r="B261" s="17" t="s">
        <v>963</v>
      </c>
      <c r="C261" s="17" t="s">
        <v>679</v>
      </c>
      <c r="D261" s="17" t="s">
        <v>1317</v>
      </c>
      <c r="E261" s="17">
        <v>4</v>
      </c>
      <c r="F261" s="17">
        <v>5</v>
      </c>
      <c r="G261" s="17">
        <v>4</v>
      </c>
      <c r="H261" s="17">
        <v>5</v>
      </c>
      <c r="I261" s="17">
        <v>5</v>
      </c>
      <c r="J261" s="17">
        <v>5</v>
      </c>
      <c r="K261" s="17">
        <v>5</v>
      </c>
      <c r="L261" s="17" t="s">
        <v>680</v>
      </c>
      <c r="M261" s="17" t="s">
        <v>681</v>
      </c>
      <c r="N261" s="17" t="s">
        <v>1318</v>
      </c>
      <c r="O261" s="17" t="s">
        <v>1319</v>
      </c>
      <c r="P261" s="17" t="s">
        <v>19</v>
      </c>
      <c r="Q261" s="17" t="s">
        <v>31</v>
      </c>
      <c r="R261" s="17" t="s">
        <v>685</v>
      </c>
    </row>
    <row r="262" spans="1:18" x14ac:dyDescent="0.25">
      <c r="A262" s="16">
        <v>45893.390011840282</v>
      </c>
      <c r="B262" s="17" t="s">
        <v>963</v>
      </c>
      <c r="C262" s="17" t="s">
        <v>703</v>
      </c>
      <c r="D262" s="17" t="s">
        <v>1320</v>
      </c>
      <c r="E262" s="17">
        <v>5</v>
      </c>
      <c r="F262" s="17">
        <v>5</v>
      </c>
      <c r="G262" s="17">
        <v>5</v>
      </c>
      <c r="H262" s="17">
        <v>4</v>
      </c>
      <c r="I262" s="17">
        <v>4</v>
      </c>
      <c r="J262" s="17">
        <v>5</v>
      </c>
      <c r="K262" s="17">
        <v>5</v>
      </c>
      <c r="L262" s="17" t="s">
        <v>680</v>
      </c>
      <c r="M262" s="17" t="s">
        <v>100</v>
      </c>
      <c r="N262" s="17" t="s">
        <v>1321</v>
      </c>
      <c r="O262" s="17" t="s">
        <v>1322</v>
      </c>
      <c r="P262" s="17" t="s">
        <v>19</v>
      </c>
      <c r="Q262" s="17" t="s">
        <v>22</v>
      </c>
      <c r="R262" s="17" t="s">
        <v>685</v>
      </c>
    </row>
    <row r="263" spans="1:18" x14ac:dyDescent="0.25">
      <c r="A263" s="16">
        <v>45893.400799803239</v>
      </c>
      <c r="B263" s="17" t="s">
        <v>963</v>
      </c>
      <c r="C263" s="17" t="s">
        <v>679</v>
      </c>
      <c r="D263" s="17" t="s">
        <v>1323</v>
      </c>
      <c r="E263" s="17">
        <v>5</v>
      </c>
      <c r="F263" s="17">
        <v>5</v>
      </c>
      <c r="G263" s="17">
        <v>5</v>
      </c>
      <c r="H263" s="17">
        <v>5</v>
      </c>
      <c r="I263" s="17">
        <v>5</v>
      </c>
      <c r="J263" s="17">
        <v>4</v>
      </c>
      <c r="K263" s="17">
        <v>5</v>
      </c>
      <c r="L263" s="17" t="s">
        <v>680</v>
      </c>
      <c r="M263" s="17" t="s">
        <v>100</v>
      </c>
      <c r="N263" s="17" t="s">
        <v>1324</v>
      </c>
      <c r="O263" s="17" t="s">
        <v>238</v>
      </c>
      <c r="P263" s="17" t="s">
        <v>19</v>
      </c>
      <c r="Q263" s="17" t="s">
        <v>22</v>
      </c>
      <c r="R263" s="17" t="s">
        <v>685</v>
      </c>
    </row>
    <row r="264" spans="1:18" x14ac:dyDescent="0.25">
      <c r="A264" s="16">
        <v>45893.472400902778</v>
      </c>
      <c r="B264" s="17" t="s">
        <v>963</v>
      </c>
      <c r="C264" s="17" t="s">
        <v>679</v>
      </c>
      <c r="D264" s="17" t="s">
        <v>1254</v>
      </c>
      <c r="E264" s="17">
        <v>5</v>
      </c>
      <c r="F264" s="17">
        <v>5</v>
      </c>
      <c r="G264" s="17">
        <v>4</v>
      </c>
      <c r="H264" s="17">
        <v>5</v>
      </c>
      <c r="I264" s="17">
        <v>5</v>
      </c>
      <c r="J264" s="17">
        <v>4</v>
      </c>
      <c r="K264" s="17">
        <v>4</v>
      </c>
      <c r="L264" s="17" t="s">
        <v>680</v>
      </c>
      <c r="M264" s="17" t="s">
        <v>681</v>
      </c>
      <c r="N264" s="17" t="s">
        <v>1325</v>
      </c>
      <c r="O264" s="17" t="s">
        <v>1326</v>
      </c>
      <c r="P264" s="17" t="s">
        <v>19</v>
      </c>
      <c r="Q264" s="17" t="s">
        <v>31</v>
      </c>
      <c r="R264" s="17" t="s">
        <v>685</v>
      </c>
    </row>
    <row r="265" spans="1:18" x14ac:dyDescent="0.25">
      <c r="A265" s="16">
        <v>45893.59130320602</v>
      </c>
      <c r="B265" s="17" t="s">
        <v>963</v>
      </c>
      <c r="C265" s="17" t="s">
        <v>703</v>
      </c>
      <c r="D265" s="17" t="s">
        <v>1327</v>
      </c>
      <c r="E265" s="17">
        <v>4</v>
      </c>
      <c r="F265" s="17">
        <v>4</v>
      </c>
      <c r="G265" s="17">
        <v>5</v>
      </c>
      <c r="H265" s="17">
        <v>4</v>
      </c>
      <c r="I265" s="17">
        <v>4</v>
      </c>
      <c r="J265" s="17">
        <v>2</v>
      </c>
      <c r="K265" s="17">
        <v>5</v>
      </c>
      <c r="L265" s="17" t="s">
        <v>680</v>
      </c>
      <c r="M265" s="17" t="s">
        <v>16</v>
      </c>
      <c r="N265" s="17" t="s">
        <v>1328</v>
      </c>
      <c r="O265" s="17" t="s">
        <v>1329</v>
      </c>
      <c r="P265" s="17" t="s">
        <v>19</v>
      </c>
      <c r="Q265" s="17" t="s">
        <v>31</v>
      </c>
      <c r="R265" s="17" t="s">
        <v>685</v>
      </c>
    </row>
    <row r="266" spans="1:18" x14ac:dyDescent="0.25">
      <c r="A266" s="16">
        <v>45893.64976940972</v>
      </c>
      <c r="B266" s="17" t="s">
        <v>963</v>
      </c>
      <c r="C266" s="17" t="s">
        <v>679</v>
      </c>
      <c r="D266" s="17" t="s">
        <v>1330</v>
      </c>
      <c r="E266" s="17">
        <v>5</v>
      </c>
      <c r="F266" s="17">
        <v>5</v>
      </c>
      <c r="G266" s="17">
        <v>5</v>
      </c>
      <c r="H266" s="17">
        <v>5</v>
      </c>
      <c r="I266" s="17">
        <v>5</v>
      </c>
      <c r="J266" s="17">
        <v>4</v>
      </c>
      <c r="K266" s="17">
        <v>5</v>
      </c>
      <c r="L266" s="17" t="s">
        <v>680</v>
      </c>
      <c r="M266" s="17" t="s">
        <v>100</v>
      </c>
      <c r="N266" s="17" t="s">
        <v>1246</v>
      </c>
      <c r="O266" s="17" t="s">
        <v>268</v>
      </c>
      <c r="P266" s="17" t="s">
        <v>19</v>
      </c>
      <c r="Q266" s="17" t="s">
        <v>22</v>
      </c>
      <c r="R266" s="17" t="s">
        <v>685</v>
      </c>
    </row>
    <row r="267" spans="1:18" x14ac:dyDescent="0.25">
      <c r="A267" s="16">
        <v>45893.654512546302</v>
      </c>
      <c r="B267" s="17" t="s">
        <v>963</v>
      </c>
      <c r="C267" s="17" t="s">
        <v>703</v>
      </c>
      <c r="D267" s="17" t="s">
        <v>1331</v>
      </c>
      <c r="E267" s="17">
        <v>5</v>
      </c>
      <c r="F267" s="17">
        <v>5</v>
      </c>
      <c r="G267" s="17">
        <v>2</v>
      </c>
      <c r="H267" s="17">
        <v>3</v>
      </c>
      <c r="I267" s="17">
        <v>3</v>
      </c>
      <c r="J267" s="17">
        <v>1</v>
      </c>
      <c r="K267" s="17">
        <v>5</v>
      </c>
      <c r="L267" s="17" t="s">
        <v>743</v>
      </c>
      <c r="M267" s="17" t="s">
        <v>681</v>
      </c>
      <c r="N267" s="17" t="s">
        <v>1332</v>
      </c>
      <c r="O267" s="17" t="s">
        <v>1333</v>
      </c>
      <c r="P267" s="17" t="s">
        <v>19</v>
      </c>
      <c r="Q267" s="17" t="s">
        <v>31</v>
      </c>
      <c r="R267" s="17" t="s">
        <v>685</v>
      </c>
    </row>
    <row r="268" spans="1:18" x14ac:dyDescent="0.25">
      <c r="A268" s="16">
        <v>45893.661019444444</v>
      </c>
      <c r="B268" s="17" t="s">
        <v>963</v>
      </c>
      <c r="C268" s="17" t="s">
        <v>679</v>
      </c>
      <c r="D268" s="17" t="s">
        <v>1334</v>
      </c>
      <c r="E268" s="17">
        <v>5</v>
      </c>
      <c r="F268" s="17">
        <v>5</v>
      </c>
      <c r="G268" s="17">
        <v>5</v>
      </c>
      <c r="H268" s="17">
        <v>5</v>
      </c>
      <c r="I268" s="17">
        <v>5</v>
      </c>
      <c r="J268" s="17">
        <v>5</v>
      </c>
      <c r="K268" s="17">
        <v>5</v>
      </c>
      <c r="L268" s="17" t="s">
        <v>687</v>
      </c>
      <c r="M268" s="17" t="s">
        <v>100</v>
      </c>
      <c r="N268" s="17" t="s">
        <v>1335</v>
      </c>
      <c r="O268" s="17" t="s">
        <v>1336</v>
      </c>
      <c r="P268" s="17" t="s">
        <v>19</v>
      </c>
      <c r="Q268" s="17" t="s">
        <v>31</v>
      </c>
      <c r="R268" s="17" t="s">
        <v>685</v>
      </c>
    </row>
    <row r="269" spans="1:18" x14ac:dyDescent="0.25">
      <c r="A269" s="16">
        <v>45893.933493159726</v>
      </c>
      <c r="B269" s="17" t="s">
        <v>963</v>
      </c>
      <c r="C269" s="17" t="s">
        <v>703</v>
      </c>
      <c r="D269" s="17" t="s">
        <v>1337</v>
      </c>
      <c r="E269" s="17">
        <v>5</v>
      </c>
      <c r="F269" s="17">
        <v>5</v>
      </c>
      <c r="G269" s="17">
        <v>5</v>
      </c>
      <c r="H269" s="17">
        <v>4</v>
      </c>
      <c r="I269" s="17">
        <v>5</v>
      </c>
      <c r="J269" s="17">
        <v>2</v>
      </c>
      <c r="K269" s="17">
        <v>5</v>
      </c>
      <c r="L269" s="17" t="s">
        <v>743</v>
      </c>
      <c r="M269" s="17" t="s">
        <v>681</v>
      </c>
      <c r="N269" s="17" t="s">
        <v>1338</v>
      </c>
      <c r="O269" s="17" t="s">
        <v>1339</v>
      </c>
      <c r="P269" s="17" t="s">
        <v>19</v>
      </c>
      <c r="Q269" s="17" t="s">
        <v>31</v>
      </c>
      <c r="R269" s="17" t="s">
        <v>685</v>
      </c>
    </row>
    <row r="270" spans="1:18" x14ac:dyDescent="0.25">
      <c r="A270" s="16">
        <v>45894.155181111113</v>
      </c>
      <c r="B270" s="17" t="s">
        <v>963</v>
      </c>
      <c r="C270" s="17" t="s">
        <v>679</v>
      </c>
      <c r="D270" s="17" t="s">
        <v>1340</v>
      </c>
      <c r="E270" s="17">
        <v>5</v>
      </c>
      <c r="F270" s="17">
        <v>4</v>
      </c>
      <c r="G270" s="17">
        <v>5</v>
      </c>
      <c r="H270" s="17">
        <v>4</v>
      </c>
      <c r="I270" s="17">
        <v>5</v>
      </c>
      <c r="J270" s="17">
        <v>4</v>
      </c>
      <c r="K270" s="17">
        <v>4</v>
      </c>
      <c r="L270" s="17" t="s">
        <v>680</v>
      </c>
      <c r="M270" s="17" t="s">
        <v>681</v>
      </c>
      <c r="N270" s="17" t="s">
        <v>1341</v>
      </c>
      <c r="O270" s="17" t="s">
        <v>1342</v>
      </c>
      <c r="P270" s="17" t="s">
        <v>19</v>
      </c>
      <c r="Q270" s="17" t="s">
        <v>22</v>
      </c>
      <c r="R270" s="17" t="s">
        <v>685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0600-A715-48BA-A853-47221BB861CE}">
  <dimension ref="A1:Y31"/>
  <sheetViews>
    <sheetView workbookViewId="0">
      <selection activeCell="F11" sqref="F11"/>
    </sheetView>
  </sheetViews>
  <sheetFormatPr defaultRowHeight="15.5" x14ac:dyDescent="0.35"/>
  <cols>
    <col min="2" max="2" width="11.1796875" style="28" bestFit="1" customWidth="1"/>
    <col min="3" max="3" width="31.81640625" style="28" bestFit="1" customWidth="1"/>
    <col min="4" max="4" width="15" style="28" bestFit="1" customWidth="1"/>
    <col min="5" max="10" width="11.1796875" style="39" bestFit="1" customWidth="1"/>
    <col min="11" max="14" width="11.1796875" style="39" customWidth="1"/>
    <col min="16" max="16" width="9.453125" bestFit="1" customWidth="1"/>
  </cols>
  <sheetData>
    <row r="1" spans="1:25" s="28" customFormat="1" x14ac:dyDescent="0.35">
      <c r="A1" s="24" t="s">
        <v>1343</v>
      </c>
      <c r="B1" s="25" t="s">
        <v>1344</v>
      </c>
      <c r="C1" s="25" t="s">
        <v>1345</v>
      </c>
      <c r="D1" s="26" t="s">
        <v>1346</v>
      </c>
      <c r="E1" s="26" t="s">
        <v>1347</v>
      </c>
      <c r="F1" s="26" t="s">
        <v>1348</v>
      </c>
      <c r="G1" s="26" t="s">
        <v>1349</v>
      </c>
      <c r="H1" s="26" t="s">
        <v>1350</v>
      </c>
      <c r="I1" s="26" t="s">
        <v>1351</v>
      </c>
      <c r="J1" s="26" t="s">
        <v>1352</v>
      </c>
      <c r="K1" s="27" t="s">
        <v>16</v>
      </c>
      <c r="L1" s="27"/>
      <c r="M1" s="27"/>
      <c r="N1" s="27"/>
      <c r="P1" s="29"/>
    </row>
    <row r="2" spans="1:25" ht="17.5" x14ac:dyDescent="0.35">
      <c r="A2" s="30">
        <v>1</v>
      </c>
      <c r="B2" s="31" t="s">
        <v>22</v>
      </c>
      <c r="C2" s="31" t="s">
        <v>143</v>
      </c>
      <c r="D2" s="32" t="s">
        <v>1353</v>
      </c>
      <c r="E2" s="33">
        <v>78</v>
      </c>
      <c r="F2" s="33">
        <v>75</v>
      </c>
      <c r="G2" s="34">
        <v>83</v>
      </c>
      <c r="H2" s="34">
        <v>84.615384615384613</v>
      </c>
      <c r="I2" s="33"/>
      <c r="J2" s="34">
        <v>93.3333333333333</v>
      </c>
      <c r="K2" s="35">
        <f>SUM(E2:J2)/5</f>
        <v>82.789743589743594</v>
      </c>
      <c r="L2" s="35"/>
      <c r="M2" s="36"/>
      <c r="N2" s="35"/>
      <c r="P2" s="37"/>
      <c r="R2" s="38"/>
      <c r="S2" s="38"/>
      <c r="T2" s="38"/>
      <c r="U2" s="38"/>
      <c r="V2" s="38"/>
      <c r="W2" s="38"/>
      <c r="X2" s="38"/>
      <c r="Y2" s="38"/>
    </row>
    <row r="3" spans="1:25" ht="17.5" x14ac:dyDescent="0.35">
      <c r="A3" s="30">
        <v>2</v>
      </c>
      <c r="B3" s="31" t="s">
        <v>22</v>
      </c>
      <c r="C3" s="31" t="s">
        <v>133</v>
      </c>
      <c r="D3" s="32" t="s">
        <v>1353</v>
      </c>
      <c r="E3" s="33">
        <v>80</v>
      </c>
      <c r="F3" s="33">
        <v>85</v>
      </c>
      <c r="G3" s="34">
        <v>77</v>
      </c>
      <c r="H3" s="34">
        <v>96.15384615384616</v>
      </c>
      <c r="I3" s="33"/>
      <c r="J3" s="34">
        <v>86.666666666666671</v>
      </c>
      <c r="K3" s="35">
        <f t="shared" ref="K3:K22" si="0">SUM(E3:J3)/5</f>
        <v>84.964102564102575</v>
      </c>
      <c r="L3" s="35"/>
      <c r="M3" s="36"/>
      <c r="N3" s="35"/>
      <c r="P3" s="37"/>
      <c r="R3" s="38"/>
      <c r="S3" s="38"/>
      <c r="T3" s="38"/>
      <c r="U3" s="38"/>
      <c r="V3" s="38"/>
      <c r="W3" s="38"/>
      <c r="X3" s="38"/>
      <c r="Y3" s="38"/>
    </row>
    <row r="4" spans="1:25" ht="17.5" x14ac:dyDescent="0.35">
      <c r="A4" s="30">
        <v>3</v>
      </c>
      <c r="B4" s="31" t="s">
        <v>22</v>
      </c>
      <c r="C4" s="31" t="s">
        <v>133</v>
      </c>
      <c r="D4" s="32" t="s">
        <v>1353</v>
      </c>
      <c r="E4" s="33">
        <v>80</v>
      </c>
      <c r="F4" s="33">
        <v>90</v>
      </c>
      <c r="G4" s="34">
        <v>97</v>
      </c>
      <c r="H4" s="34">
        <v>100</v>
      </c>
      <c r="I4" s="33"/>
      <c r="J4" s="34">
        <v>90</v>
      </c>
      <c r="K4" s="35">
        <f t="shared" si="0"/>
        <v>91.4</v>
      </c>
      <c r="L4" s="35"/>
      <c r="M4" s="36"/>
      <c r="N4" s="35"/>
      <c r="P4" s="37"/>
      <c r="R4" s="38"/>
      <c r="S4" s="38"/>
      <c r="T4" s="38"/>
      <c r="U4" s="38"/>
      <c r="V4" s="38"/>
      <c r="W4" s="38"/>
      <c r="X4" s="38"/>
      <c r="Y4" s="38"/>
    </row>
    <row r="5" spans="1:25" ht="17.5" x14ac:dyDescent="0.35">
      <c r="A5" s="30">
        <v>4</v>
      </c>
      <c r="B5" s="31" t="s">
        <v>22</v>
      </c>
      <c r="C5" s="31" t="s">
        <v>143</v>
      </c>
      <c r="D5" s="32" t="s">
        <v>1354</v>
      </c>
      <c r="E5" s="33">
        <v>90</v>
      </c>
      <c r="F5" s="33">
        <v>70</v>
      </c>
      <c r="G5" s="34">
        <v>75</v>
      </c>
      <c r="H5" s="34">
        <v>92.307692307692307</v>
      </c>
      <c r="I5" s="33"/>
      <c r="J5" s="34">
        <v>83.333333333333329</v>
      </c>
      <c r="K5" s="35">
        <f t="shared" si="0"/>
        <v>82.128205128205124</v>
      </c>
      <c r="L5" s="35"/>
      <c r="M5" s="36"/>
      <c r="N5" s="35"/>
      <c r="P5" s="37"/>
      <c r="R5" s="38"/>
      <c r="S5" s="38"/>
      <c r="T5" s="38"/>
      <c r="U5" s="38"/>
      <c r="V5" s="38"/>
      <c r="W5" s="38"/>
      <c r="X5" s="38"/>
      <c r="Y5" s="38"/>
    </row>
    <row r="6" spans="1:25" ht="17.5" x14ac:dyDescent="0.35">
      <c r="A6" s="30">
        <v>5</v>
      </c>
      <c r="B6" s="31" t="s">
        <v>22</v>
      </c>
      <c r="C6" s="31" t="s">
        <v>143</v>
      </c>
      <c r="D6" s="32" t="s">
        <v>1354</v>
      </c>
      <c r="E6" s="33">
        <v>78</v>
      </c>
      <c r="F6" s="33">
        <v>75</v>
      </c>
      <c r="G6" s="34">
        <v>87</v>
      </c>
      <c r="H6" s="34">
        <v>84.615384615384613</v>
      </c>
      <c r="I6" s="33"/>
      <c r="J6" s="34">
        <v>66.666666666666671</v>
      </c>
      <c r="K6" s="35">
        <f>SUM(E6:J6)/5</f>
        <v>78.256410256410263</v>
      </c>
      <c r="L6" s="35"/>
      <c r="M6" s="35"/>
      <c r="N6" s="35"/>
      <c r="P6" s="37"/>
      <c r="R6" s="38"/>
      <c r="S6" s="38"/>
      <c r="T6" s="38"/>
      <c r="U6" s="38"/>
      <c r="V6" s="38"/>
      <c r="W6" s="38"/>
      <c r="X6" s="38"/>
      <c r="Y6" s="38"/>
    </row>
    <row r="7" spans="1:25" ht="17.5" x14ac:dyDescent="0.35">
      <c r="A7" s="30">
        <v>6</v>
      </c>
      <c r="B7" s="31" t="s">
        <v>22</v>
      </c>
      <c r="C7" s="31" t="s">
        <v>133</v>
      </c>
      <c r="D7" s="32" t="s">
        <v>1353</v>
      </c>
      <c r="E7" s="33">
        <v>90</v>
      </c>
      <c r="F7" s="33">
        <v>70</v>
      </c>
      <c r="G7" s="34">
        <v>80</v>
      </c>
      <c r="H7" s="34">
        <v>92.307692307692307</v>
      </c>
      <c r="I7" s="33"/>
      <c r="J7" s="34">
        <v>83.333333333333329</v>
      </c>
      <c r="K7" s="35">
        <f t="shared" si="0"/>
        <v>83.128205128205124</v>
      </c>
      <c r="L7" s="35"/>
      <c r="M7" s="35"/>
      <c r="N7" s="35"/>
      <c r="P7" s="37"/>
      <c r="R7" s="38"/>
      <c r="S7" s="38"/>
      <c r="T7" s="38"/>
      <c r="U7" s="38"/>
      <c r="V7" s="38"/>
      <c r="W7" s="38"/>
      <c r="X7" s="38"/>
      <c r="Y7" s="38"/>
    </row>
    <row r="8" spans="1:25" ht="17.5" x14ac:dyDescent="0.35">
      <c r="A8" s="30">
        <v>7</v>
      </c>
      <c r="B8" s="31" t="s">
        <v>22</v>
      </c>
      <c r="C8" s="31" t="s">
        <v>143</v>
      </c>
      <c r="D8" s="32" t="s">
        <v>1354</v>
      </c>
      <c r="E8" s="33">
        <v>70</v>
      </c>
      <c r="F8" s="33">
        <v>80</v>
      </c>
      <c r="G8" s="34">
        <v>75</v>
      </c>
      <c r="H8" s="34">
        <v>61.53846153846154</v>
      </c>
      <c r="I8" s="33"/>
      <c r="J8" s="34">
        <v>66.6666666666667</v>
      </c>
      <c r="K8" s="35">
        <f>SUM(E8:J8)/5</f>
        <v>70.641025641025649</v>
      </c>
      <c r="L8" s="35"/>
      <c r="M8" s="35"/>
      <c r="N8" s="35"/>
      <c r="P8" s="37"/>
      <c r="R8" s="38"/>
      <c r="S8" s="38"/>
      <c r="T8" s="38"/>
      <c r="U8" s="38"/>
      <c r="V8" s="38"/>
      <c r="W8" s="38"/>
      <c r="X8" s="38"/>
      <c r="Y8" s="38"/>
    </row>
    <row r="9" spans="1:25" ht="17.5" x14ac:dyDescent="0.35">
      <c r="A9" s="30">
        <v>8</v>
      </c>
      <c r="B9" s="31" t="s">
        <v>31</v>
      </c>
      <c r="C9" s="31" t="s">
        <v>143</v>
      </c>
      <c r="D9" s="32" t="s">
        <v>1354</v>
      </c>
      <c r="E9" s="33">
        <v>72</v>
      </c>
      <c r="F9" s="33">
        <v>70</v>
      </c>
      <c r="G9" s="34">
        <v>80</v>
      </c>
      <c r="H9" s="34">
        <v>64</v>
      </c>
      <c r="I9" s="33"/>
      <c r="J9" s="34">
        <v>72</v>
      </c>
      <c r="K9" s="35">
        <f>SUM(E9:J9)/5</f>
        <v>71.599999999999994</v>
      </c>
      <c r="L9" s="35"/>
      <c r="M9" s="35"/>
      <c r="N9" s="35"/>
      <c r="P9" s="37"/>
      <c r="R9" s="38"/>
      <c r="S9" s="38"/>
      <c r="T9" s="38"/>
      <c r="U9" s="38"/>
      <c r="V9" s="38"/>
      <c r="W9" s="38"/>
      <c r="X9" s="38"/>
      <c r="Y9" s="38"/>
    </row>
    <row r="10" spans="1:25" ht="17.5" x14ac:dyDescent="0.35">
      <c r="A10" s="30">
        <v>9</v>
      </c>
      <c r="B10" s="31" t="s">
        <v>22</v>
      </c>
      <c r="C10" s="31" t="s">
        <v>143</v>
      </c>
      <c r="D10" s="32" t="s">
        <v>1354</v>
      </c>
      <c r="E10" s="33">
        <v>75</v>
      </c>
      <c r="F10" s="33">
        <v>75</v>
      </c>
      <c r="G10" s="34">
        <v>93</v>
      </c>
      <c r="H10" s="34">
        <v>92.307692307692307</v>
      </c>
      <c r="I10" s="33"/>
      <c r="J10" s="34">
        <v>93.333333333333329</v>
      </c>
      <c r="K10" s="35">
        <f t="shared" si="0"/>
        <v>85.728205128205133</v>
      </c>
      <c r="L10" s="35"/>
      <c r="M10" s="35"/>
      <c r="N10" s="35"/>
      <c r="P10" s="37"/>
      <c r="R10" s="38"/>
      <c r="S10" s="38"/>
      <c r="T10" s="38"/>
      <c r="U10" s="38"/>
      <c r="V10" s="38"/>
      <c r="W10" s="38"/>
      <c r="X10" s="38"/>
      <c r="Y10" s="38"/>
    </row>
    <row r="11" spans="1:25" ht="17.5" x14ac:dyDescent="0.35">
      <c r="A11" s="30">
        <v>10</v>
      </c>
      <c r="B11" s="31" t="s">
        <v>22</v>
      </c>
      <c r="C11" s="31" t="s">
        <v>143</v>
      </c>
      <c r="D11" s="32" t="s">
        <v>1353</v>
      </c>
      <c r="E11" s="33">
        <v>90</v>
      </c>
      <c r="F11" s="33">
        <v>88</v>
      </c>
      <c r="G11" s="34">
        <v>93</v>
      </c>
      <c r="H11" s="34">
        <v>84.615384615384613</v>
      </c>
      <c r="I11" s="33"/>
      <c r="J11" s="34">
        <v>86.666666666666671</v>
      </c>
      <c r="K11" s="35">
        <f t="shared" si="0"/>
        <v>88.456410256410265</v>
      </c>
      <c r="L11" s="35"/>
      <c r="M11" s="35"/>
      <c r="N11" s="35"/>
      <c r="P11" s="37"/>
      <c r="R11" s="38"/>
      <c r="S11" s="38"/>
      <c r="T11" s="38"/>
      <c r="U11" s="38"/>
      <c r="V11" s="38"/>
      <c r="W11" s="38"/>
      <c r="X11" s="38"/>
      <c r="Y11" s="38"/>
    </row>
    <row r="12" spans="1:25" ht="17.5" x14ac:dyDescent="0.35">
      <c r="A12" s="30">
        <v>11</v>
      </c>
      <c r="B12" s="31" t="s">
        <v>22</v>
      </c>
      <c r="C12" s="31" t="s">
        <v>143</v>
      </c>
      <c r="D12" s="32" t="s">
        <v>1353</v>
      </c>
      <c r="E12" s="33">
        <v>100</v>
      </c>
      <c r="F12" s="33">
        <v>85</v>
      </c>
      <c r="G12" s="34">
        <v>82</v>
      </c>
      <c r="H12" s="34">
        <v>76.92307692307692</v>
      </c>
      <c r="I12" s="33"/>
      <c r="J12" s="34">
        <v>93.333333333333329</v>
      </c>
      <c r="K12" s="35">
        <f t="shared" si="0"/>
        <v>87.45128205128205</v>
      </c>
      <c r="L12" s="35"/>
      <c r="M12" s="35"/>
      <c r="N12" s="35"/>
      <c r="P12" s="37"/>
      <c r="R12" s="38"/>
      <c r="S12" s="38"/>
      <c r="T12" s="38"/>
      <c r="U12" s="38"/>
      <c r="V12" s="38"/>
      <c r="W12" s="38"/>
      <c r="X12" s="38"/>
      <c r="Y12" s="38"/>
    </row>
    <row r="13" spans="1:25" ht="17.5" x14ac:dyDescent="0.35">
      <c r="A13" s="30">
        <v>12</v>
      </c>
      <c r="B13" s="31" t="s">
        <v>22</v>
      </c>
      <c r="C13" s="31" t="s">
        <v>143</v>
      </c>
      <c r="D13" s="32" t="s">
        <v>1353</v>
      </c>
      <c r="E13" s="33">
        <v>90</v>
      </c>
      <c r="F13" s="33">
        <v>85</v>
      </c>
      <c r="G13" s="34">
        <v>93</v>
      </c>
      <c r="H13" s="34">
        <v>92.307692307692307</v>
      </c>
      <c r="I13" s="33"/>
      <c r="J13" s="34">
        <v>93.333333333333329</v>
      </c>
      <c r="K13" s="35">
        <f t="shared" si="0"/>
        <v>90.728205128205133</v>
      </c>
      <c r="L13" s="35"/>
      <c r="M13" s="35"/>
      <c r="N13" s="35"/>
      <c r="P13" s="37"/>
      <c r="R13" s="38"/>
      <c r="S13" s="38"/>
      <c r="T13" s="38"/>
      <c r="U13" s="38"/>
      <c r="V13" s="38"/>
      <c r="W13" s="38"/>
      <c r="X13" s="38"/>
      <c r="Y13" s="38"/>
    </row>
    <row r="14" spans="1:25" ht="17.5" x14ac:dyDescent="0.35">
      <c r="A14" s="30">
        <v>13</v>
      </c>
      <c r="B14" s="31" t="s">
        <v>31</v>
      </c>
      <c r="C14" s="31" t="s">
        <v>143</v>
      </c>
      <c r="D14" s="32" t="s">
        <v>1353</v>
      </c>
      <c r="E14" s="33">
        <v>88</v>
      </c>
      <c r="F14" s="33">
        <v>80</v>
      </c>
      <c r="G14" s="34">
        <v>80</v>
      </c>
      <c r="H14" s="34">
        <v>53.846153846153847</v>
      </c>
      <c r="I14" s="33"/>
      <c r="J14" s="34">
        <v>70</v>
      </c>
      <c r="K14" s="35">
        <f t="shared" si="0"/>
        <v>74.369230769230768</v>
      </c>
      <c r="L14" s="35"/>
      <c r="M14" s="35"/>
      <c r="N14" s="35"/>
      <c r="P14" s="37"/>
      <c r="R14" s="38"/>
      <c r="S14" s="38"/>
      <c r="T14" s="38"/>
      <c r="U14" s="38"/>
      <c r="V14" s="38"/>
      <c r="W14" s="38"/>
      <c r="X14" s="38"/>
      <c r="Y14" s="38"/>
    </row>
    <row r="15" spans="1:25" ht="17.5" x14ac:dyDescent="0.35">
      <c r="A15" s="30">
        <v>14</v>
      </c>
      <c r="B15" s="31" t="s">
        <v>22</v>
      </c>
      <c r="C15" s="31" t="s">
        <v>143</v>
      </c>
      <c r="D15" s="32" t="s">
        <v>1353</v>
      </c>
      <c r="E15" s="33">
        <v>78</v>
      </c>
      <c r="F15" s="33">
        <v>60</v>
      </c>
      <c r="G15" s="34">
        <v>90</v>
      </c>
      <c r="H15" s="34">
        <v>84.615384615384613</v>
      </c>
      <c r="I15" s="33"/>
      <c r="J15" s="34">
        <v>83.3333333333333</v>
      </c>
      <c r="K15" s="35">
        <f>SUM(E15:J15)/5</f>
        <v>79.189743589743586</v>
      </c>
      <c r="L15" s="35"/>
      <c r="M15" s="35"/>
      <c r="N15" s="35"/>
      <c r="P15" s="37"/>
      <c r="R15" s="38"/>
      <c r="S15" s="38"/>
      <c r="T15" s="38"/>
      <c r="U15" s="38"/>
      <c r="V15" s="38"/>
      <c r="W15" s="38"/>
      <c r="X15" s="38"/>
      <c r="Y15" s="38"/>
    </row>
    <row r="16" spans="1:25" ht="17.5" x14ac:dyDescent="0.35">
      <c r="A16" s="30">
        <v>15</v>
      </c>
      <c r="B16" s="31" t="s">
        <v>22</v>
      </c>
      <c r="C16" s="31" t="s">
        <v>133</v>
      </c>
      <c r="D16" s="32" t="s">
        <v>1353</v>
      </c>
      <c r="E16" s="33">
        <v>90</v>
      </c>
      <c r="F16" s="33">
        <v>75</v>
      </c>
      <c r="G16" s="34">
        <v>87</v>
      </c>
      <c r="H16" s="34">
        <v>76.92307692307692</v>
      </c>
      <c r="I16" s="33"/>
      <c r="J16" s="34">
        <v>90</v>
      </c>
      <c r="K16" s="35">
        <f t="shared" si="0"/>
        <v>83.784615384615378</v>
      </c>
      <c r="L16" s="35"/>
      <c r="M16" s="35"/>
      <c r="N16" s="35"/>
      <c r="P16" s="37"/>
      <c r="R16" s="38"/>
      <c r="S16" s="38"/>
      <c r="T16" s="38"/>
      <c r="U16" s="38"/>
      <c r="V16" s="38"/>
      <c r="W16" s="38"/>
      <c r="X16" s="38"/>
      <c r="Y16" s="38"/>
    </row>
    <row r="17" spans="1:25" ht="17.5" x14ac:dyDescent="0.35">
      <c r="A17" s="30">
        <v>16</v>
      </c>
      <c r="B17" s="31" t="s">
        <v>22</v>
      </c>
      <c r="C17" s="31" t="s">
        <v>143</v>
      </c>
      <c r="D17" s="32" t="s">
        <v>1353</v>
      </c>
      <c r="E17" s="33">
        <v>81</v>
      </c>
      <c r="F17" s="33">
        <v>80</v>
      </c>
      <c r="G17" s="34">
        <v>67</v>
      </c>
      <c r="H17" s="34">
        <v>61.53846153846154</v>
      </c>
      <c r="I17" s="33"/>
      <c r="J17" s="34">
        <v>70</v>
      </c>
      <c r="K17" s="35">
        <f t="shared" si="0"/>
        <v>71.907692307692315</v>
      </c>
      <c r="L17" s="35"/>
      <c r="M17" s="35"/>
      <c r="N17" s="35"/>
      <c r="P17" s="37"/>
      <c r="R17" s="38"/>
      <c r="S17" s="38"/>
      <c r="T17" s="38"/>
      <c r="U17" s="38"/>
      <c r="V17" s="38"/>
      <c r="W17" s="38"/>
      <c r="X17" s="38"/>
      <c r="Y17" s="38"/>
    </row>
    <row r="18" spans="1:25" ht="17.5" x14ac:dyDescent="0.35">
      <c r="A18" s="30">
        <v>17</v>
      </c>
      <c r="B18" s="31" t="s">
        <v>31</v>
      </c>
      <c r="C18" s="31" t="s">
        <v>143</v>
      </c>
      <c r="D18" s="32" t="s">
        <v>1353</v>
      </c>
      <c r="E18" s="33">
        <v>75</v>
      </c>
      <c r="F18" s="33">
        <v>72</v>
      </c>
      <c r="G18" s="34">
        <v>80</v>
      </c>
      <c r="H18" s="34">
        <v>88.461538461538467</v>
      </c>
      <c r="I18" s="33"/>
      <c r="J18" s="34">
        <v>93.333333333333329</v>
      </c>
      <c r="K18" s="35">
        <f t="shared" si="0"/>
        <v>81.758974358974356</v>
      </c>
      <c r="L18" s="35"/>
      <c r="M18" s="35"/>
      <c r="N18" s="35"/>
      <c r="P18" s="37"/>
      <c r="R18" s="38"/>
      <c r="S18" s="38"/>
      <c r="T18" s="38"/>
      <c r="U18" s="38"/>
      <c r="V18" s="38"/>
      <c r="W18" s="38"/>
      <c r="X18" s="38"/>
      <c r="Y18" s="38"/>
    </row>
    <row r="19" spans="1:25" ht="17.5" x14ac:dyDescent="0.35">
      <c r="A19" s="30">
        <v>18</v>
      </c>
      <c r="B19" s="31" t="s">
        <v>22</v>
      </c>
      <c r="C19" s="31" t="s">
        <v>133</v>
      </c>
      <c r="D19" s="32" t="s">
        <v>1353</v>
      </c>
      <c r="E19" s="33">
        <v>80</v>
      </c>
      <c r="F19" s="33">
        <v>60</v>
      </c>
      <c r="G19" s="34">
        <v>77</v>
      </c>
      <c r="H19" s="34">
        <v>96.15384615384616</v>
      </c>
      <c r="I19" s="33"/>
      <c r="J19" s="34">
        <v>70</v>
      </c>
      <c r="K19" s="35">
        <f t="shared" si="0"/>
        <v>76.630769230769232</v>
      </c>
      <c r="L19" s="35"/>
      <c r="M19" s="35"/>
      <c r="N19" s="35"/>
      <c r="P19" s="37"/>
      <c r="R19" s="38"/>
      <c r="S19" s="38"/>
      <c r="T19" s="38"/>
      <c r="U19" s="38"/>
      <c r="V19" s="38"/>
      <c r="W19" s="38"/>
      <c r="X19" s="38"/>
      <c r="Y19" s="38"/>
    </row>
    <row r="20" spans="1:25" ht="17.5" x14ac:dyDescent="0.35">
      <c r="A20" s="30">
        <v>19</v>
      </c>
      <c r="B20" s="31" t="s">
        <v>22</v>
      </c>
      <c r="C20" s="31" t="s">
        <v>143</v>
      </c>
      <c r="D20" s="32" t="s">
        <v>1353</v>
      </c>
      <c r="E20" s="33">
        <v>75</v>
      </c>
      <c r="F20" s="33">
        <v>90</v>
      </c>
      <c r="G20" s="34">
        <v>90</v>
      </c>
      <c r="H20" s="34">
        <v>84.615384615384613</v>
      </c>
      <c r="I20" s="33"/>
      <c r="J20" s="34">
        <v>93.333333333333329</v>
      </c>
      <c r="K20" s="35">
        <f t="shared" si="0"/>
        <v>86.589743589743591</v>
      </c>
      <c r="L20" s="35"/>
      <c r="M20" s="35"/>
      <c r="N20" s="35"/>
      <c r="P20" s="37"/>
      <c r="R20" s="38"/>
      <c r="S20" s="38"/>
      <c r="T20" s="38"/>
      <c r="U20" s="38"/>
      <c r="V20" s="38"/>
      <c r="W20" s="38"/>
      <c r="X20" s="38"/>
      <c r="Y20" s="38"/>
    </row>
    <row r="21" spans="1:25" ht="17.5" x14ac:dyDescent="0.35">
      <c r="A21" s="30">
        <v>20</v>
      </c>
      <c r="B21" s="31" t="s">
        <v>22</v>
      </c>
      <c r="C21" s="31" t="s">
        <v>143</v>
      </c>
      <c r="D21" s="32" t="s">
        <v>1353</v>
      </c>
      <c r="E21" s="33">
        <v>70</v>
      </c>
      <c r="F21" s="33">
        <v>70</v>
      </c>
      <c r="G21" s="34">
        <v>87</v>
      </c>
      <c r="H21" s="34">
        <v>69.230769230769226</v>
      </c>
      <c r="I21" s="33"/>
      <c r="J21" s="34">
        <v>83.333333333333329</v>
      </c>
      <c r="K21" s="35">
        <f t="shared" si="0"/>
        <v>75.912820512820502</v>
      </c>
      <c r="L21" s="35"/>
      <c r="M21" s="35"/>
      <c r="N21" s="35"/>
      <c r="P21" s="37"/>
      <c r="R21" s="38"/>
      <c r="S21" s="38"/>
      <c r="T21" s="38"/>
      <c r="U21" s="38"/>
      <c r="V21" s="38"/>
      <c r="W21" s="38"/>
      <c r="X21" s="38"/>
      <c r="Y21" s="38"/>
    </row>
    <row r="22" spans="1:25" ht="17.5" x14ac:dyDescent="0.35">
      <c r="A22" s="30">
        <v>21</v>
      </c>
      <c r="B22" s="31" t="s">
        <v>22</v>
      </c>
      <c r="C22" s="31" t="s">
        <v>143</v>
      </c>
      <c r="D22" s="32" t="s">
        <v>1353</v>
      </c>
      <c r="E22" s="33">
        <v>77.5</v>
      </c>
      <c r="F22" s="33">
        <v>68</v>
      </c>
      <c r="G22" s="34">
        <v>90</v>
      </c>
      <c r="H22" s="34">
        <v>92.307692307692307</v>
      </c>
      <c r="I22" s="33"/>
      <c r="J22" s="34">
        <v>93.333333333333329</v>
      </c>
      <c r="K22" s="35">
        <f t="shared" si="0"/>
        <v>84.228205128205133</v>
      </c>
      <c r="L22" s="35"/>
      <c r="M22" s="35"/>
      <c r="N22" s="35"/>
      <c r="P22" s="37"/>
      <c r="R22" s="38"/>
      <c r="S22" s="38"/>
      <c r="T22" s="38"/>
      <c r="U22" s="38"/>
      <c r="V22" s="38"/>
      <c r="W22" s="38"/>
      <c r="X22" s="38"/>
      <c r="Y22" s="38"/>
    </row>
    <row r="24" spans="1:25" x14ac:dyDescent="0.35">
      <c r="E24" s="39">
        <f>AVERAGE(E2:E22)</f>
        <v>81.30952380952381</v>
      </c>
      <c r="F24" s="39">
        <f t="shared" ref="F24:K24" si="1">AVERAGE(F2:F22)</f>
        <v>76.333333333333329</v>
      </c>
      <c r="G24" s="39">
        <f t="shared" si="1"/>
        <v>83.952380952380949</v>
      </c>
      <c r="H24" s="39">
        <f t="shared" si="1"/>
        <v>82.35164835164835</v>
      </c>
      <c r="J24" s="39">
        <f t="shared" si="1"/>
        <v>83.587301587301567</v>
      </c>
      <c r="K24" s="39">
        <f t="shared" si="1"/>
        <v>81.506837606837607</v>
      </c>
      <c r="Y24" s="38"/>
    </row>
    <row r="26" spans="1:25" x14ac:dyDescent="0.35">
      <c r="D26" s="40"/>
      <c r="E26" s="39">
        <f>MEDIAN(E2:E22)</f>
        <v>80</v>
      </c>
      <c r="F26" s="39">
        <f t="shared" ref="F26:K26" si="2">MEDIAN(F2:F22)</f>
        <v>75</v>
      </c>
      <c r="G26" s="39">
        <f t="shared" si="2"/>
        <v>83</v>
      </c>
      <c r="H26" s="39">
        <f t="shared" si="2"/>
        <v>84.615384615384613</v>
      </c>
      <c r="J26" s="39">
        <f t="shared" si="2"/>
        <v>86.666666666666671</v>
      </c>
      <c r="K26" s="39">
        <f t="shared" si="2"/>
        <v>82.789743589743594</v>
      </c>
    </row>
    <row r="27" spans="1:25" x14ac:dyDescent="0.35">
      <c r="D27" s="40"/>
    </row>
    <row r="30" spans="1:25" x14ac:dyDescent="0.35">
      <c r="C30" s="40"/>
    </row>
    <row r="31" spans="1:25" x14ac:dyDescent="0.35">
      <c r="C31"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9613-FE34-44B8-ADA7-892CEFEBCA39}">
  <dimension ref="A1:G33"/>
  <sheetViews>
    <sheetView workbookViewId="0">
      <selection activeCell="D8" sqref="D8"/>
    </sheetView>
  </sheetViews>
  <sheetFormatPr defaultRowHeight="12.5" x14ac:dyDescent="0.25"/>
  <cols>
    <col min="2" max="2" width="10.26953125" customWidth="1"/>
    <col min="3" max="3" width="10.90625" customWidth="1"/>
    <col min="4" max="4" width="8.90625" customWidth="1"/>
    <col min="5" max="5" width="8.6328125" customWidth="1"/>
  </cols>
  <sheetData>
    <row r="1" spans="1:7" s="47" customFormat="1" ht="42" x14ac:dyDescent="0.3">
      <c r="A1" s="41" t="s">
        <v>1355</v>
      </c>
      <c r="B1" s="42" t="s">
        <v>1356</v>
      </c>
      <c r="C1" s="42"/>
      <c r="D1" s="43" t="s">
        <v>1357</v>
      </c>
      <c r="E1" s="44" t="s">
        <v>1358</v>
      </c>
      <c r="F1" s="45" t="s">
        <v>1359</v>
      </c>
      <c r="G1" s="46" t="s">
        <v>1360</v>
      </c>
    </row>
    <row r="2" spans="1:7" x14ac:dyDescent="0.25">
      <c r="A2" s="48">
        <v>1</v>
      </c>
      <c r="B2" s="49" t="s">
        <v>1361</v>
      </c>
      <c r="C2" s="49"/>
      <c r="D2" s="50">
        <v>16</v>
      </c>
      <c r="E2" s="51">
        <v>14</v>
      </c>
      <c r="F2" s="52">
        <v>45</v>
      </c>
      <c r="G2" s="53">
        <v>11</v>
      </c>
    </row>
    <row r="3" spans="1:7" x14ac:dyDescent="0.25">
      <c r="A3" s="48">
        <v>2</v>
      </c>
      <c r="B3" s="49" t="s">
        <v>1362</v>
      </c>
      <c r="C3" s="49"/>
      <c r="D3" s="50">
        <v>18</v>
      </c>
      <c r="E3" s="51">
        <v>19</v>
      </c>
      <c r="F3" s="52">
        <v>56</v>
      </c>
      <c r="G3" s="53">
        <v>11.5</v>
      </c>
    </row>
    <row r="4" spans="1:7" x14ac:dyDescent="0.25">
      <c r="A4" s="48">
        <v>3</v>
      </c>
      <c r="B4" s="49" t="s">
        <v>1362</v>
      </c>
      <c r="C4" s="49"/>
      <c r="D4" s="50">
        <v>19</v>
      </c>
      <c r="E4" s="51">
        <v>9</v>
      </c>
      <c r="F4" s="52">
        <v>38</v>
      </c>
      <c r="G4" s="53">
        <v>10.5</v>
      </c>
    </row>
    <row r="5" spans="1:7" x14ac:dyDescent="0.25">
      <c r="A5" s="48">
        <v>4</v>
      </c>
      <c r="B5" s="49" t="s">
        <v>1361</v>
      </c>
      <c r="C5" s="49"/>
      <c r="D5" s="50">
        <v>17</v>
      </c>
      <c r="E5" s="51">
        <v>15</v>
      </c>
      <c r="F5" s="52">
        <v>51</v>
      </c>
      <c r="G5" s="53">
        <v>9.5</v>
      </c>
    </row>
    <row r="6" spans="1:7" x14ac:dyDescent="0.25">
      <c r="A6" s="48">
        <v>5</v>
      </c>
      <c r="B6" s="49" t="s">
        <v>1361</v>
      </c>
      <c r="C6" s="49"/>
      <c r="D6" s="50">
        <v>17</v>
      </c>
      <c r="E6" s="51">
        <v>18</v>
      </c>
      <c r="F6" s="52">
        <v>51</v>
      </c>
      <c r="G6" s="53">
        <v>9.5</v>
      </c>
    </row>
    <row r="7" spans="1:7" x14ac:dyDescent="0.25">
      <c r="A7" s="48">
        <v>6</v>
      </c>
      <c r="B7" s="49" t="s">
        <v>1363</v>
      </c>
      <c r="C7" s="49"/>
      <c r="D7" s="50">
        <v>17</v>
      </c>
      <c r="E7" s="51">
        <v>9</v>
      </c>
      <c r="F7" s="52">
        <v>35</v>
      </c>
      <c r="G7" s="53">
        <v>9.5</v>
      </c>
    </row>
    <row r="8" spans="1:7" x14ac:dyDescent="0.25">
      <c r="A8" s="48">
        <v>7</v>
      </c>
      <c r="B8" s="49" t="s">
        <v>1364</v>
      </c>
      <c r="C8" s="49"/>
      <c r="D8" s="50">
        <v>13</v>
      </c>
      <c r="E8" s="51">
        <v>17</v>
      </c>
      <c r="F8" s="52">
        <v>51</v>
      </c>
      <c r="G8" s="53">
        <v>12.5</v>
      </c>
    </row>
    <row r="9" spans="1:7" x14ac:dyDescent="0.25">
      <c r="A9" s="48">
        <v>8</v>
      </c>
      <c r="B9" s="49" t="s">
        <v>1363</v>
      </c>
      <c r="C9" s="49"/>
      <c r="D9" s="50">
        <v>18</v>
      </c>
      <c r="E9" s="51">
        <v>20</v>
      </c>
      <c r="F9" s="52">
        <v>48</v>
      </c>
      <c r="G9" s="53">
        <v>9.5</v>
      </c>
    </row>
    <row r="10" spans="1:7" x14ac:dyDescent="0.25">
      <c r="A10" s="48">
        <v>9</v>
      </c>
      <c r="B10" s="49" t="s">
        <v>1365</v>
      </c>
      <c r="C10" s="49"/>
      <c r="D10" s="50">
        <v>20</v>
      </c>
      <c r="E10" s="51">
        <v>15</v>
      </c>
      <c r="F10" s="52">
        <v>45</v>
      </c>
      <c r="G10" s="53">
        <v>10.5</v>
      </c>
    </row>
    <row r="11" spans="1:7" x14ac:dyDescent="0.25">
      <c r="A11" s="48">
        <v>10</v>
      </c>
      <c r="B11" s="49" t="s">
        <v>1361</v>
      </c>
      <c r="C11" s="49"/>
      <c r="D11" s="50">
        <v>13</v>
      </c>
      <c r="E11" s="51">
        <v>14</v>
      </c>
      <c r="F11" s="52">
        <v>47</v>
      </c>
      <c r="G11" s="53">
        <v>11.5</v>
      </c>
    </row>
    <row r="12" spans="1:7" x14ac:dyDescent="0.25">
      <c r="A12" s="48">
        <v>11</v>
      </c>
      <c r="B12" s="49" t="s">
        <v>1363</v>
      </c>
      <c r="C12" s="49"/>
      <c r="D12" s="50">
        <v>14</v>
      </c>
      <c r="E12" s="51">
        <v>12</v>
      </c>
      <c r="F12" s="52">
        <v>50</v>
      </c>
      <c r="G12" s="53">
        <v>12.5</v>
      </c>
    </row>
    <row r="13" spans="1:7" x14ac:dyDescent="0.25">
      <c r="A13" s="48">
        <v>12</v>
      </c>
      <c r="B13" s="49" t="s">
        <v>1366</v>
      </c>
      <c r="C13" s="49"/>
      <c r="D13" s="50">
        <v>17</v>
      </c>
      <c r="E13" s="51">
        <v>14</v>
      </c>
      <c r="F13" s="52">
        <v>53</v>
      </c>
      <c r="G13" s="53">
        <v>10.5</v>
      </c>
    </row>
    <row r="14" spans="1:7" x14ac:dyDescent="0.25">
      <c r="A14" s="48">
        <v>13</v>
      </c>
      <c r="B14" s="49" t="s">
        <v>1363</v>
      </c>
      <c r="C14" s="49"/>
      <c r="D14" s="50">
        <v>13</v>
      </c>
      <c r="E14" s="51">
        <v>12</v>
      </c>
      <c r="F14" s="52">
        <v>51</v>
      </c>
      <c r="G14" s="53">
        <v>8.5</v>
      </c>
    </row>
    <row r="15" spans="1:7" x14ac:dyDescent="0.25">
      <c r="A15" s="48">
        <v>14</v>
      </c>
      <c r="B15" s="49" t="s">
        <v>1362</v>
      </c>
      <c r="C15" s="49"/>
      <c r="D15" s="50">
        <v>10</v>
      </c>
      <c r="E15" s="51">
        <v>12</v>
      </c>
      <c r="F15" s="52">
        <v>54</v>
      </c>
      <c r="G15" s="53">
        <v>10.5</v>
      </c>
    </row>
    <row r="16" spans="1:7" x14ac:dyDescent="0.25">
      <c r="A16" s="48">
        <v>15</v>
      </c>
      <c r="B16" s="49" t="s">
        <v>1362</v>
      </c>
      <c r="C16" s="49"/>
      <c r="D16" s="50">
        <v>13</v>
      </c>
      <c r="E16" s="51">
        <v>14</v>
      </c>
      <c r="F16" s="52">
        <v>51</v>
      </c>
      <c r="G16" s="53">
        <v>11</v>
      </c>
    </row>
    <row r="17" spans="1:7" x14ac:dyDescent="0.25">
      <c r="A17" s="54">
        <v>16</v>
      </c>
      <c r="B17" s="55" t="s">
        <v>1361</v>
      </c>
      <c r="C17" s="55"/>
      <c r="D17" s="54">
        <v>13</v>
      </c>
      <c r="E17" s="54">
        <v>11</v>
      </c>
      <c r="F17" s="54" t="s">
        <v>1367</v>
      </c>
      <c r="G17" s="53">
        <v>12</v>
      </c>
    </row>
    <row r="18" spans="1:7" x14ac:dyDescent="0.25">
      <c r="A18" s="48">
        <v>17</v>
      </c>
      <c r="B18" s="49" t="s">
        <v>1365</v>
      </c>
      <c r="C18" s="49"/>
      <c r="D18" s="50">
        <v>17</v>
      </c>
      <c r="E18" s="51">
        <v>10</v>
      </c>
      <c r="F18" s="52">
        <v>51</v>
      </c>
      <c r="G18" s="53">
        <v>11.5</v>
      </c>
    </row>
    <row r="19" spans="1:7" x14ac:dyDescent="0.25">
      <c r="A19" s="48">
        <v>18</v>
      </c>
      <c r="B19" s="49" t="s">
        <v>1365</v>
      </c>
      <c r="C19" s="49"/>
      <c r="D19" s="50">
        <v>16</v>
      </c>
      <c r="E19" s="51">
        <v>15</v>
      </c>
      <c r="F19" s="52">
        <v>40</v>
      </c>
      <c r="G19" s="53">
        <v>11</v>
      </c>
    </row>
    <row r="20" spans="1:7" x14ac:dyDescent="0.25">
      <c r="A20" s="48">
        <v>19</v>
      </c>
      <c r="B20" s="49" t="s">
        <v>1368</v>
      </c>
      <c r="C20" s="49"/>
      <c r="D20" s="50">
        <v>14</v>
      </c>
      <c r="E20" s="51">
        <v>16</v>
      </c>
      <c r="F20" s="52">
        <v>51</v>
      </c>
      <c r="G20" s="53">
        <v>11.5</v>
      </c>
    </row>
    <row r="21" spans="1:7" x14ac:dyDescent="0.25">
      <c r="A21" s="48">
        <v>20</v>
      </c>
      <c r="B21" s="49" t="s">
        <v>1368</v>
      </c>
      <c r="C21" s="49"/>
      <c r="D21" s="50">
        <v>16</v>
      </c>
      <c r="E21" s="51">
        <v>11</v>
      </c>
      <c r="F21" s="52">
        <v>39</v>
      </c>
      <c r="G21" s="53">
        <v>12</v>
      </c>
    </row>
    <row r="22" spans="1:7" x14ac:dyDescent="0.25">
      <c r="A22" s="48">
        <v>21</v>
      </c>
      <c r="B22" s="49" t="s">
        <v>1362</v>
      </c>
      <c r="C22" s="49"/>
      <c r="D22" s="50">
        <v>11</v>
      </c>
      <c r="E22" s="51">
        <v>16</v>
      </c>
      <c r="F22" s="52">
        <v>51</v>
      </c>
      <c r="G22" s="53">
        <v>10</v>
      </c>
    </row>
    <row r="23" spans="1:7" x14ac:dyDescent="0.25">
      <c r="A23" s="48">
        <v>22</v>
      </c>
      <c r="B23" s="49" t="s">
        <v>1369</v>
      </c>
      <c r="C23" s="49"/>
      <c r="D23" s="50">
        <v>11</v>
      </c>
      <c r="E23" s="51">
        <v>14</v>
      </c>
      <c r="F23" s="52">
        <v>56</v>
      </c>
      <c r="G23" s="53">
        <v>10</v>
      </c>
    </row>
    <row r="24" spans="1:7" x14ac:dyDescent="0.25">
      <c r="A24" s="48">
        <v>23</v>
      </c>
      <c r="B24" s="49" t="s">
        <v>1362</v>
      </c>
      <c r="C24" s="49"/>
      <c r="D24" s="50">
        <v>20</v>
      </c>
      <c r="E24" s="51">
        <v>19</v>
      </c>
      <c r="F24" s="52">
        <v>56</v>
      </c>
      <c r="G24" s="53">
        <v>11</v>
      </c>
    </row>
    <row r="25" spans="1:7" x14ac:dyDescent="0.25">
      <c r="A25" s="48">
        <v>24</v>
      </c>
      <c r="B25" s="49" t="s">
        <v>1362</v>
      </c>
      <c r="C25" s="49"/>
      <c r="D25" s="50">
        <v>14</v>
      </c>
      <c r="E25" s="51">
        <v>17</v>
      </c>
      <c r="F25" s="52">
        <v>51</v>
      </c>
      <c r="G25" s="53">
        <v>12.5</v>
      </c>
    </row>
    <row r="26" spans="1:7" x14ac:dyDescent="0.25">
      <c r="A26" s="48">
        <v>25</v>
      </c>
      <c r="B26" s="49" t="s">
        <v>1368</v>
      </c>
      <c r="C26" s="49"/>
      <c r="D26" s="50">
        <v>17</v>
      </c>
      <c r="E26" s="51">
        <v>13</v>
      </c>
      <c r="F26" s="52">
        <v>51</v>
      </c>
      <c r="G26" s="53">
        <v>9.5</v>
      </c>
    </row>
    <row r="27" spans="1:7" x14ac:dyDescent="0.25">
      <c r="A27" s="48">
        <v>26</v>
      </c>
      <c r="B27" s="49" t="s">
        <v>1370</v>
      </c>
      <c r="C27" s="49"/>
      <c r="D27" s="50">
        <v>11</v>
      </c>
      <c r="E27" s="51">
        <v>16</v>
      </c>
      <c r="F27" s="52">
        <v>51</v>
      </c>
      <c r="G27" s="53">
        <v>10</v>
      </c>
    </row>
    <row r="28" spans="1:7" x14ac:dyDescent="0.25">
      <c r="A28" s="48">
        <v>27</v>
      </c>
      <c r="B28" s="49" t="s">
        <v>1365</v>
      </c>
      <c r="C28" s="49"/>
      <c r="D28" s="50">
        <v>10</v>
      </c>
      <c r="E28" s="51">
        <v>15</v>
      </c>
      <c r="F28" s="52">
        <v>51</v>
      </c>
      <c r="G28" s="53">
        <v>12</v>
      </c>
    </row>
    <row r="29" spans="1:7" x14ac:dyDescent="0.25">
      <c r="A29" s="48">
        <v>28</v>
      </c>
      <c r="B29" s="49" t="s">
        <v>1365</v>
      </c>
      <c r="C29" s="49"/>
      <c r="D29" s="50">
        <v>19</v>
      </c>
      <c r="E29" s="51">
        <v>18</v>
      </c>
      <c r="F29" s="52">
        <v>54</v>
      </c>
      <c r="G29" s="53">
        <v>10.5</v>
      </c>
    </row>
    <row r="30" spans="1:7" ht="14" x14ac:dyDescent="0.3">
      <c r="A30" s="56">
        <v>29</v>
      </c>
      <c r="B30" s="57" t="s">
        <v>1371</v>
      </c>
      <c r="C30" s="57"/>
      <c r="D30" s="58">
        <v>16</v>
      </c>
      <c r="E30" s="59">
        <v>18</v>
      </c>
      <c r="F30" s="60">
        <v>49</v>
      </c>
      <c r="G30" s="61">
        <v>10</v>
      </c>
    </row>
    <row r="31" spans="1:7" x14ac:dyDescent="0.25">
      <c r="A31" s="48">
        <v>30</v>
      </c>
      <c r="B31" s="49" t="s">
        <v>1362</v>
      </c>
      <c r="C31" s="49"/>
      <c r="D31" s="50">
        <v>15</v>
      </c>
      <c r="E31" s="51">
        <v>15</v>
      </c>
      <c r="F31" s="52">
        <v>42</v>
      </c>
      <c r="G31" s="53">
        <v>8.5</v>
      </c>
    </row>
    <row r="32" spans="1:7" x14ac:dyDescent="0.25">
      <c r="A32" s="48"/>
      <c r="B32" s="49"/>
      <c r="C32" s="49"/>
      <c r="D32" s="50"/>
      <c r="E32" s="51"/>
      <c r="F32" s="52"/>
      <c r="G32" s="53"/>
    </row>
    <row r="33" spans="1:7" s="47" customFormat="1" ht="14" x14ac:dyDescent="0.3">
      <c r="A33" s="62"/>
      <c r="B33" s="62"/>
      <c r="C33" s="63"/>
      <c r="D33" s="64">
        <f t="shared" ref="D33:G33" si="0">AVERAGE(D2:D31)</f>
        <v>15.166666666666666</v>
      </c>
      <c r="E33" s="65">
        <f t="shared" si="0"/>
        <v>14.6</v>
      </c>
      <c r="F33" s="66">
        <f t="shared" si="0"/>
        <v>48.931034482758619</v>
      </c>
      <c r="G33" s="67">
        <f t="shared" si="0"/>
        <v>10.683333333333334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Cohort 3 - baseline</vt:lpstr>
      <vt:lpstr>Cohort 3 - endline</vt:lpstr>
      <vt:lpstr>Cohort 3 - module evaluations</vt:lpstr>
      <vt:lpstr>Cohort 3 - quizzes Ethiopia</vt:lpstr>
      <vt:lpstr>Cohort 3 - quizzes Uganda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T Trimmer</dc:creator>
  <cp:lastModifiedBy>John T Trimmer</cp:lastModifiedBy>
  <dcterms:created xsi:type="dcterms:W3CDTF">2026-02-04T16:06:25Z</dcterms:created>
  <dcterms:modified xsi:type="dcterms:W3CDTF">2026-02-04T16:13:17Z</dcterms:modified>
</cp:coreProperties>
</file>